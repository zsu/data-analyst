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Budget General\01 Keydata Electronic Version\PDB KD &amp; DRUPAL Files by FY\FY2026\Keydata July 2026\WIC\"/>
    </mc:Choice>
  </mc:AlternateContent>
  <xr:revisionPtr revIDLastSave="0" documentId="8_{347695BB-8845-4D83-8B1A-4636596CC208}" xr6:coauthVersionLast="47" xr6:coauthVersionMax="47" xr10:uidLastSave="{00000000-0000-0000-0000-000000000000}"/>
  <bookViews>
    <workbookView xWindow="-28920" yWindow="960" windowWidth="29040" windowHeight="17520" tabRatio="868" xr2:uid="{00000000-000D-0000-FFFF-FFFF00000000}"/>
  </bookViews>
  <sheets>
    <sheet name="Children Participating" sheetId="6" r:id="rId12"/>
    <sheet name="Total Number of Participants" sheetId="5" r:id="rId13"/>
    <sheet name="Nut. Services &amp; Admin. Costs" sheetId="2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<sst xmlns="http://schemas.openxmlformats.org/spreadsheetml/2006/main" count="184" uniqueCount="141">
  <si>
    <t>State Agency or Indian Tribal Organization</t>
  </si>
  <si>
    <t>All data are preliminary and are subject to revision.</t>
  </si>
  <si>
    <t>WIC PROGRAM -- NUMBER OF PREGNANT WOMEN PARTICIPATING</t>
  </si>
  <si>
    <t>WIC PROGRAM -- NUTRITION SERVICES AND ADMINISTRATION</t>
  </si>
  <si>
    <t>WIC PROGRAM -- FOOD COSTS</t>
  </si>
  <si>
    <t>WIC PROGRAM -- AVERAGE FOOD COST PER PERSON</t>
  </si>
  <si>
    <t>WIC PROGRAM -- TOTAL NUMBER OF PARTICIPANTS</t>
  </si>
  <si>
    <t>WIC PROGRAM -- NUMBER OF CHILDREN PARTICIPATING</t>
  </si>
  <si>
    <t>WIC PROGRAM -- NUMBER OF INFANTS PARTICIPATING</t>
  </si>
  <si>
    <t>WIC PROGRAM -- TOTAL NUMBER OF WOMEN PARTICIPATING</t>
  </si>
  <si>
    <t>WIC PROGRAM -- NUMBER OF POSTPARTUM WOMEN PARTICIPATING</t>
  </si>
  <si>
    <t>WIC PROGRAM -- NUMBER OF BREASTFEEDING WOMEN PARTICIPATING</t>
  </si>
  <si>
    <t>Average Participation</t>
  </si>
  <si>
    <t>Note on WIC Agency Level Monthly Spreadsheets</t>
  </si>
  <si>
    <t xml:space="preserve">     Pregnant Women </t>
  </si>
  <si>
    <t xml:space="preserve">     Postpartum Women </t>
  </si>
  <si>
    <t xml:space="preserve">     Total Women </t>
  </si>
  <si>
    <t xml:space="preserve">     Children </t>
  </si>
  <si>
    <t xml:space="preserve">     Total Participants </t>
  </si>
  <si>
    <t xml:space="preserve">     Average food cost per person</t>
  </si>
  <si>
    <t xml:space="preserve">     Food Costs </t>
  </si>
  <si>
    <t xml:space="preserve">     Nutrition Services and Administration</t>
  </si>
  <si>
    <t>Cumulative Average</t>
  </si>
  <si>
    <t>Cumulative Cost</t>
  </si>
  <si>
    <t xml:space="preserve">     Rebates</t>
  </si>
  <si>
    <t xml:space="preserve">     Infants Fully Breastfed</t>
  </si>
  <si>
    <t xml:space="preserve">     Infants Partially Breastfed</t>
  </si>
  <si>
    <t xml:space="preserve">     Infants Fully Formula-fed</t>
  </si>
  <si>
    <t>WIC PROGRAM -- Infants Fully Breastfed</t>
  </si>
  <si>
    <t>WIC PROGRAM -- Infants Partially Breastfed</t>
  </si>
  <si>
    <t>WIC PROGRAM -- Infants Fully Formula-fed</t>
  </si>
  <si>
    <t>Sixteen spreadsheets are included in the following order:</t>
  </si>
  <si>
    <t>WIC PROGRAM -- Women Partially Breastfeeding</t>
  </si>
  <si>
    <t>WIC PROGRAM -- Women Fully Breastfeeding</t>
  </si>
  <si>
    <t xml:space="preserve">     Women Fully Breastfeeding</t>
  </si>
  <si>
    <t xml:space="preserve">     Women Partially Breastfeeding</t>
  </si>
  <si>
    <t xml:space="preserve">     Total Breastfeeding Women (includes fully breastfeeding and partially breastfeeding) </t>
  </si>
  <si>
    <t xml:space="preserve">     Total Infants </t>
  </si>
  <si>
    <t>WIC PROGRAM -- REBATES RECEIVED</t>
  </si>
  <si>
    <t xml:space="preserve">This file contains monthly data for the selected fiscal year for each WIC State agency i.e. geographic state, </t>
  </si>
  <si>
    <t xml:space="preserve">Indian tribal organization, and territory.  </t>
  </si>
  <si>
    <t>FISCAL YEAR 2025</t>
  </si>
  <si>
    <t>Connecticut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</si>
  <si>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</si>
  <si>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</si>
  <si>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</si>
  <si>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</si>
  <si>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</si>
  <si>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</si>
  <si>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</si>
  <si>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Pleasant Point, ME</t>
  </si>
  <si>
    <t>Northeast Region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</si>
  <si>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</si>
  <si>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</si>
  <si>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</si>
  <si>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</si>
  <si>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</si>
  <si>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</si>
  <si>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</si>
  <si>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</si>
  <si>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Mid-Atlantic Region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</si>
  <si>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</si>
  <si>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</si>
  <si>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</si>
  <si>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</si>
  <si>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</si>
  <si>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</si>
  <si>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</si>
  <si>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</si>
  <si>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Choctaw Indians, MS</t>
  </si>
  <si>
    <t>Eastern Cherokee, NC</t>
  </si>
  <si>
    <t>Southeast Region</t>
  </si>
  <si>
    <t>Illinois</t>
  </si>
  <si>
    <t>Indiana</t>
  </si>
  <si>
    <t>Iowa</t>
  </si>
  <si>
    <t>Michigan</t>
  </si>
  <si>
    <t>Minnesota</t>
  </si>
  <si>
    <t>Ohio</t>
  </si>
  <si>
    <t>Wisconsin</t>
  </si>
  <si>
    <t>Midwest Region</t>
  </si>
  <si>
    <t>Arizona</t>
  </si>
  <si>
    <t>Arkansas</t>
  </si>
  <si>
    <t>Louisiana</t>
  </si>
  <si>
    <t>New Mexico</t>
  </si>
  <si>
    <t>Oklahoma</t>
  </si>
  <si>
    <t>Texas</t>
  </si>
  <si>
    <t>Utah</t>
  </si>
  <si>
    <t>Inter-Tribal Council, AZ</t>
  </si>
  <si>
    <t>Navajo Nation, AZ</t>
  </si>
  <si>
    <t>Acoma, Canoncito &amp; Laguna, NM</t>
  </si>
  <si>
    <t>Eight Northern Pueblos, NM</t>
  </si>
  <si>
    <t>Five Sandoval Pueblos, NM</t>
  </si>
  <si>
    <t>Isleta Pueblo, NM</t>
  </si>
  <si>
    <t>San Felipe Pueblo, NM</t>
  </si>
  <si>
    <t>Santo Domingo Tribe, NM</t>
  </si>
  <si>
    <t>Zuni Pueblo, NM</t>
  </si>
  <si>
    <t>Cherokee Nation, OK</t>
  </si>
  <si>
    <t>Chickasaw Nation, OK</t>
  </si>
  <si>
    <t>Choctaw Nation, OK</t>
  </si>
  <si>
    <t>Citizen Potawatomi Nation, OK</t>
  </si>
  <si>
    <t>Inter-Tribal Council, OK</t>
  </si>
  <si>
    <t>Muscogee Creek Nation, OK</t>
  </si>
  <si>
    <t>Osage Tribal Council, OK</t>
  </si>
  <si>
    <t>Otoe-Missouria Tribe, OK</t>
  </si>
  <si>
    <t>Wichita, Caddo &amp; Delaware (WCD), OK</t>
  </si>
  <si>
    <t>Southwest Region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</si>
  <si>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</si>
  <si>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</si>
  <si>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</si>
  <si>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</si>
  <si>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</si>
  <si>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</si>
  <si>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</si>
  <si>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</si>
  <si>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Ute Mountain Ute Tribe, CO</t>
  </si>
  <si>
    <t>Omaha Sioux, NE</t>
  </si>
  <si>
    <t>Santee Sioux, NE</t>
  </si>
  <si>
    <t>Winnebago Tribe, NE</t>
  </si>
  <si>
    <t>Standing Rock Sioux Tribe, ND</t>
  </si>
  <si>
    <t>Three Affiliated Tribes, ND</t>
  </si>
  <si>
    <t>Cheyenne River Sioux, SD</t>
  </si>
  <si>
    <t>Rosebud Sioux, SD</t>
  </si>
  <si>
    <t>Northern Arapahoe, WY</t>
  </si>
  <si>
    <t>Shoshone Tribe, WY</t>
  </si>
  <si>
    <t>Mountain Plains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</si>
  <si>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</si>
  <si>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</si>
  <si>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</si>
  <si>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</si>
  <si>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</si>
  <si>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</si>
  <si>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</si>
  <si>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</si>
  <si>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</si>
  <si>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Northern Marianas</t>
  </si>
  <si>
    <t>Inter-Tribal Council, NV</t>
  </si>
  <si>
    <t>Western Region</t>
  </si>
  <si>
    <t>TOTAL</t>
  </si>
  <si>
    <t>Cumulative Cost:
 October-September</t>
  </si>
  <si>
    <t>This file contains data for October through September of FY 2025.</t>
  </si>
  <si>
    <t>Data as of October 09,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</si>
</sst>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mmmm\ dd\,\ yyyy"/>
  </numFmts>
  <fonts count="11" x14ac:knownFonts="1">
    <font>
      <sz val="10"/>
      <name val="Arial"/>
    </font>
    <font>
      <sz val="8"/>
      <name val="Arial"/>
    </font>
    <font>
      <b/>
      <sz val="10"/>
      <name val="Arial"/>
    </font>
    <font>
      <b/>
      <sz val="9"/>
      <name val="Arial"/>
    </font>
    <font>
      <sz val="9"/>
      <name val="Arial"/>
    </font>
    <font>
      <b/>
      <u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3">
    <xf numFmtId="0" fontId="9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4" fontId="4" fillId="0" borderId="0" xfId="0" applyNumberFormat="1" applyFont="1"/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3" fontId="3" fillId="0" borderId="0" xfId="0" applyNumberFormat="1" applyFont="1" applyAlignment="1">
      <alignment horizontal="left"/>
    </xf>
    <xf numFmtId="0" fontId="2" fillId="0" borderId="0" xfId="0" applyFont="1"/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/>
    </xf>
    <xf numFmtId="0" fontId="6" fillId="0" borderId="6" xfId="0" applyFont="1" applyBorder="1" applyAlignment="1">
      <alignment horizontal="left" vertical="top"/>
    </xf>
    <xf numFmtId="3" fontId="6" fillId="0" borderId="7" xfId="0" applyNumberFormat="1" applyFont="1" applyBorder="1" applyAlignment="1">
      <alignment horizontal="right" vertical="top"/>
    </xf>
    <xf numFmtId="3" fontId="6" fillId="0" borderId="8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164" fontId="3" fillId="0" borderId="4" xfId="0" applyNumberFormat="1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165" fontId="4" fillId="0" borderId="0" xfId="0" applyNumberFormat="1" applyFont="1"/>
    <xf numFmtId="0" fontId="3" fillId="0" borderId="9" xfId="0" applyFont="1" applyBorder="1" applyAlignment="1">
      <alignment horizontal="right" vertical="center" wrapText="1"/>
    </xf>
    <xf numFmtId="3" fontId="7" fillId="0" borderId="10" xfId="0" applyNumberFormat="1" applyFont="1" applyBorder="1" applyAlignment="1">
      <alignment horizontal="left" vertical="top"/>
    </xf>
    <xf numFmtId="3" fontId="7" fillId="0" borderId="11" xfId="0" applyNumberFormat="1" applyFont="1" applyBorder="1" applyAlignment="1">
      <alignment horizontal="right" vertical="top"/>
    </xf>
    <xf numFmtId="3" fontId="7" fillId="0" borderId="1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8" fillId="0" borderId="0" xfId="0" applyFont="1"/>
    <xf numFmtId="3" fontId="2" fillId="0" borderId="10" xfId="0" applyNumberFormat="1" applyFont="1" applyBorder="1" applyAlignment="1">
      <alignment horizontal="left" vertical="top"/>
    </xf>
    <xf numFmtId="3" fontId="2" fillId="0" borderId="11" xfId="0" applyNumberFormat="1" applyFont="1" applyBorder="1" applyAlignment="1">
      <alignment horizontal="right" vertical="top"/>
    </xf>
    <xf numFmtId="3" fontId="2" fillId="0" borderId="12" xfId="0" applyNumberFormat="1" applyFont="1" applyBorder="1" applyAlignment="1">
      <alignment horizontal="right" vertical="top"/>
    </xf>
    <xf numFmtId="0" fontId="2" fillId="0" borderId="0" xfId="0" applyFont="1" applyAlignment="1">
      <alignment vertical="top"/>
    </xf>
    <xf numFmtId="4" fontId="3" fillId="0" borderId="0" xfId="0" applyNumberFormat="1" applyFont="1" applyAlignment="1">
      <alignment horizontal="center"/>
    </xf>
    <xf numFmtId="4" fontId="3" fillId="0" borderId="4" xfId="0" applyNumberFormat="1" applyFont="1" applyBorder="1" applyAlignment="1">
      <alignment horizontal="right" vertical="center" wrapText="1"/>
    </xf>
    <xf numFmtId="4" fontId="4" fillId="0" borderId="5" xfId="0" applyNumberFormat="1" applyFont="1" applyBorder="1" applyAlignment="1">
      <alignment horizontal="right"/>
    </xf>
    <xf numFmtId="4" fontId="4" fillId="0" borderId="0" xfId="0" applyNumberFormat="1" applyFont="1" applyAlignment="1">
      <alignment horizontal="right"/>
    </xf>
    <xf numFmtId="4" fontId="6" fillId="0" borderId="8" xfId="0" applyNumberFormat="1" applyFont="1" applyBorder="1" applyAlignment="1">
      <alignment horizontal="right" vertical="top"/>
    </xf>
    <xf numFmtId="4" fontId="6" fillId="0" borderId="7" xfId="0" applyNumberFormat="1" applyFont="1" applyBorder="1" applyAlignment="1">
      <alignment horizontal="right" vertical="top"/>
    </xf>
    <xf numFmtId="4" fontId="2" fillId="0" borderId="11" xfId="0" applyNumberFormat="1" applyFont="1" applyBorder="1" applyAlignment="1">
      <alignment horizontal="right" vertical="top"/>
    </xf>
    <xf numFmtId="4" fontId="2" fillId="0" borderId="12" xfId="0" applyNumberFormat="1" applyFont="1" applyBorder="1" applyAlignment="1">
      <alignment horizontal="right" vertical="top"/>
    </xf>
    <xf numFmtId="4" fontId="9" fillId="0" borderId="0" xfId="0" applyNumberFormat="1" applyFont="1"/>
    <xf numFmtId="3" fontId="6" fillId="0" borderId="6" xfId="0" applyNumberFormat="1" applyFont="1" applyBorder="1" applyAlignment="1">
      <alignment horizontal="right" vertical="top"/>
    </xf>
    <xf numFmtId="3" fontId="4" fillId="0" borderId="2" xfId="0" applyNumberFormat="1" applyFont="1" applyBorder="1" applyAlignment="1">
      <alignment horizontal="right"/>
    </xf>
    <xf numFmtId="3" fontId="7" fillId="0" borderId="10" xfId="0" applyNumberFormat="1" applyFont="1" applyBorder="1" applyAlignment="1">
      <alignment horizontal="right" vertical="top"/>
    </xf>
    <xf numFmtId="3" fontId="2" fillId="0" borderId="10" xfId="0" applyNumberFormat="1" applyFont="1" applyBorder="1" applyAlignment="1">
      <alignment horizontal="right" vertical="top"/>
    </xf>
    <xf numFmtId="4" fontId="6" fillId="0" borderId="6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/>
    </xf>
    <xf numFmtId="4" fontId="2" fillId="0" borderId="10" xfId="0" applyNumberFormat="1" applyFont="1" applyBorder="1" applyAlignment="1">
      <alignment horizontal="right" vertical="top"/>
    </xf>
    <xf numFmtId="3" fontId="6" fillId="0" borderId="4" xfId="0" applyNumberFormat="1" applyFont="1" applyBorder="1" applyAlignment="1">
      <alignment horizontal="right" vertical="top"/>
    </xf>
    <xf numFmtId="3" fontId="6" fillId="0" borderId="3" xfId="0" applyNumberFormat="1" applyFont="1" applyBorder="1" applyAlignment="1">
      <alignment horizontal="right" vertical="top"/>
    </xf>
    <xf numFmtId="3" fontId="6" fillId="0" borderId="1" xfId="0" applyNumberFormat="1" applyFont="1" applyBorder="1" applyAlignment="1">
      <alignment horizontal="right" vertical="top"/>
    </xf>
    <xf numFmtId="4" fontId="4" fillId="0" borderId="5" xfId="0" applyNumberFormat="1" applyFont="1" applyBorder="1"/>
    <xf numFmtId="4" fontId="3" fillId="0" borderId="8" xfId="0" applyNumberFormat="1" applyFont="1" applyBorder="1" applyAlignment="1">
      <alignment horizontal="right" vertical="top"/>
    </xf>
    <xf numFmtId="4" fontId="3" fillId="0" borderId="4" xfId="0" applyNumberFormat="1" applyFont="1" applyBorder="1" applyAlignment="1">
      <alignment horizontal="right" vertical="top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horizontal="left" vertical="center" wrapText="1"/>
    </xf>
    <xf numFmtId="164" fontId="3" fillId="2" borderId="4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left"/>
    </xf>
    <xf numFmtId="3" fontId="4" fillId="2" borderId="5" xfId="0" applyNumberFormat="1" applyFont="1" applyFill="1" applyBorder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4" fillId="2" borderId="2" xfId="0" applyNumberFormat="1" applyFont="1" applyFill="1" applyBorder="1" applyAlignment="1">
      <alignment horizontal="right"/>
    </xf>
    <xf numFmtId="0" fontId="6" fillId="2" borderId="6" xfId="0" applyFont="1" applyFill="1" applyBorder="1" applyAlignment="1">
      <alignment horizontal="left" vertical="top"/>
    </xf>
    <xf numFmtId="3" fontId="6" fillId="2" borderId="8" xfId="0" applyNumberFormat="1" applyFont="1" applyFill="1" applyBorder="1" applyAlignment="1">
      <alignment horizontal="right" vertical="top"/>
    </xf>
    <xf numFmtId="3" fontId="6" fillId="2" borderId="7" xfId="0" applyNumberFormat="1" applyFont="1" applyFill="1" applyBorder="1" applyAlignment="1">
      <alignment horizontal="right" vertical="top"/>
    </xf>
    <xf numFmtId="3" fontId="6" fillId="2" borderId="6" xfId="0" applyNumberFormat="1" applyFont="1" applyFill="1" applyBorder="1" applyAlignment="1">
      <alignment horizontal="right" vertical="top"/>
    </xf>
    <xf numFmtId="0" fontId="6" fillId="2" borderId="0" xfId="0" applyFont="1" applyFill="1" applyAlignment="1">
      <alignment vertical="top"/>
    </xf>
    <xf numFmtId="0" fontId="4" fillId="2" borderId="2" xfId="0" applyFont="1" applyFill="1" applyBorder="1"/>
    <xf numFmtId="3" fontId="2" fillId="2" borderId="10" xfId="0" applyNumberFormat="1" applyFont="1" applyFill="1" applyBorder="1" applyAlignment="1">
      <alignment horizontal="left" vertical="top"/>
    </xf>
    <xf numFmtId="3" fontId="2" fillId="2" borderId="11" xfId="0" applyNumberFormat="1" applyFont="1" applyFill="1" applyBorder="1" applyAlignment="1">
      <alignment horizontal="right" vertical="top"/>
    </xf>
    <xf numFmtId="3" fontId="2" fillId="2" borderId="12" xfId="0" applyNumberFormat="1" applyFont="1" applyFill="1" applyBorder="1" applyAlignment="1">
      <alignment horizontal="right" vertical="top"/>
    </xf>
    <xf numFmtId="3" fontId="2" fillId="2" borderId="10" xfId="0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vertical="top"/>
    </xf>
    <xf numFmtId="3" fontId="3" fillId="2" borderId="0" xfId="0" applyNumberFormat="1" applyFont="1" applyFill="1" applyAlignment="1">
      <alignment horizontal="left"/>
    </xf>
    <xf numFmtId="0" fontId="9" fillId="2" borderId="0" xfId="0" applyFont="1" applyFill="1"/>
    <xf numFmtId="0" fontId="10" fillId="0" borderId="0" xfId="0" applyFont="1" applyAlignment="1">
      <alignment vertical="center"/>
    </xf>
    <xf numFmtId="0" fontId="10" fillId="0" borderId="0" xfId="0" applyFont="1"/>
    <xf numFmtId="0" fontId="5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0" Type="http://schemas.openxmlformats.org/officeDocument/2006/relationships/sharedStrings" Target="sharedStrings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pageSetUpPr fitToPage="1"/>
  </sheetPr>
  <dimension ref="A1:N104"/>
  <sheetViews>
    <sheetView showGridLines="0" workbookViewId="0"/>
  </sheetViews>
  <sheetFormatPr defaultColWidth="9.140625" defaultRowHeight="12" x14ac:dyDescent="0.2"/>
  <cols>
    <col min="1" max="1" width="34.7109375" style="3" customWidth="1"/>
    <col min="2" max="13" width="11.7109375" style="3" customWidth="1"/>
    <col min="14" max="14" width="13.7109375" style="3" customWidth="1"/>
    <col min="15" max="16384" width="9.140625" style="3"/>
  </cols>
  <sheetData>
    <row r="1" spans="1:14" ht="12" customHeight="1" x14ac:dyDescent="0.2">
      <c r="A1" s="10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2" customHeight="1" x14ac:dyDescent="0.2">
      <c r="A2" s="10" t="str">
        <f>'Pregnant Women Participating'!A2</f>
        <v>FISCAL YEAR 2025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12" customHeight="1" x14ac:dyDescent="0.2">
      <c r="A3" s="1" t="str">
        <f>'Pregnant Women Participating'!A3</f>
        <v>Data as of October 09, 2026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ht="12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 ht="24" customHeight="1" x14ac:dyDescent="0.2">
      <c r="A5" s="6" t="s">
        <v>0</v>
      </c>
      <c r="B5" s="18">
        <f>DATE(RIGHT(A2,4)-1,10,1)</f>
        <v>45566</v>
      </c>
      <c r="C5" s="19">
        <f>DATE(RIGHT(A2,4)-1,11,1)</f>
        <v>45597</v>
      </c>
      <c r="D5" s="19">
        <f>DATE(RIGHT(A2,4)-1,12,1)</f>
        <v>45627</v>
      </c>
      <c r="E5" s="19">
        <f>DATE(RIGHT(A2,4),1,1)</f>
        <v>45658</v>
      </c>
      <c r="F5" s="19">
        <f>DATE(RIGHT(A2,4),2,1)</f>
        <v>45689</v>
      </c>
      <c r="G5" s="19">
        <f>DATE(RIGHT(A2,4),3,1)</f>
        <v>45717</v>
      </c>
      <c r="H5" s="19">
        <f>DATE(RIGHT(A2,4),4,1)</f>
        <v>45748</v>
      </c>
      <c r="I5" s="19">
        <f>DATE(RIGHT(A2,4),5,1)</f>
        <v>45778</v>
      </c>
      <c r="J5" s="19">
        <f>DATE(RIGHT(A2,4),6,1)</f>
        <v>45809</v>
      </c>
      <c r="K5" s="19">
        <f>DATE(RIGHT(A2,4),7,1)</f>
        <v>45839</v>
      </c>
      <c r="L5" s="19">
        <f>DATE(RIGHT(A2,4),8,1)</f>
        <v>45870</v>
      </c>
      <c r="M5" s="19">
        <f>DATE(RIGHT(A2,4),9,1)</f>
        <v>45901</v>
      </c>
      <c r="N5" s="12" t="s">
        <v>12</v>
      </c>
    </row>
    <row r="6" spans="1:14" ht="12" customHeight="1" x14ac:dyDescent="0.2">
      <c r="A6" s="7" t="str">
        <f>'Pregnant Women Participating'!A6</f>
        <v>Connecticut</v>
      </c>
      <c r="B6" s="13">
        <v>29653</v>
      </c>
      <c r="C6" s="4">
        <v>29629</v>
      </c>
      <c r="D6" s="4">
        <v>29473</v>
      </c>
      <c r="E6" s="4">
        <v>29940</v>
      </c>
      <c r="F6" s="4">
        <v>29836</v>
      </c>
      <c r="G6" s="4">
        <v>30261</v>
      </c>
      <c r="H6" s="4">
        <v>30389</v>
      </c>
      <c r="I6" s="4">
        <v>30397</v>
      </c>
      <c r="J6" s="4">
        <v>30309</v>
      </c>
      <c r="K6" s="4">
        <v>30499</v>
      </c>
      <c r="L6" s="4">
        <v>30503</v>
      </c>
      <c r="M6" s="42">
        <v>30713</v>
      </c>
      <c r="N6" s="13">
        <f t="shared" ref="N6:N14" si="0">IF(SUM(B6:M6)&gt;0,AVERAGE(B6:M6)," ")</f>
        <v>30133.5</v>
      </c>
    </row>
    <row r="7" spans="1:14" ht="12" customHeight="1" x14ac:dyDescent="0.2">
      <c r="A7" s="7" t="str">
        <f>'Pregnant Women Participating'!A7</f>
        <v>Maine</v>
      </c>
      <c r="B7" s="13">
        <v>11221</v>
      </c>
      <c r="C7" s="4">
        <v>11150</v>
      </c>
      <c r="D7" s="4">
        <v>11015</v>
      </c>
      <c r="E7" s="4">
        <v>11035</v>
      </c>
      <c r="F7" s="4">
        <v>11048</v>
      </c>
      <c r="G7" s="4">
        <v>11070</v>
      </c>
      <c r="H7" s="4">
        <v>11125</v>
      </c>
      <c r="I7" s="4">
        <v>11171</v>
      </c>
      <c r="J7" s="4">
        <v>11225</v>
      </c>
      <c r="K7" s="4">
        <v>11234</v>
      </c>
      <c r="L7" s="4">
        <v>11288</v>
      </c>
      <c r="M7" s="42">
        <v>11239</v>
      </c>
      <c r="N7" s="13">
        <f t="shared" si="0"/>
        <v>11151.75</v>
      </c>
    </row>
    <row r="8" spans="1:14" ht="12" customHeight="1" x14ac:dyDescent="0.2">
      <c r="A8" s="7" t="str">
        <f>'Pregnant Women Participating'!A8</f>
        <v>Massachusetts</v>
      </c>
      <c r="B8" s="13">
        <v>73912</v>
      </c>
      <c r="C8" s="4">
        <v>73520</v>
      </c>
      <c r="D8" s="4">
        <v>73052</v>
      </c>
      <c r="E8" s="4">
        <v>73546</v>
      </c>
      <c r="F8" s="4">
        <v>73015</v>
      </c>
      <c r="G8" s="4">
        <v>73039</v>
      </c>
      <c r="H8" s="4">
        <v>72324</v>
      </c>
      <c r="I8" s="4">
        <v>72239</v>
      </c>
      <c r="J8" s="4">
        <v>71552</v>
      </c>
      <c r="K8" s="4">
        <v>71858</v>
      </c>
      <c r="L8" s="4">
        <v>71614</v>
      </c>
      <c r="M8" s="42">
        <v>72510</v>
      </c>
      <c r="N8" s="13">
        <f t="shared" si="0"/>
        <v>72681.75</v>
      </c>
    </row>
    <row r="9" spans="1:14" ht="12" customHeight="1" x14ac:dyDescent="0.2">
      <c r="A9" s="7" t="str">
        <f>'Pregnant Women Participating'!A9</f>
        <v>New Hampshire</v>
      </c>
      <c r="B9" s="13">
        <v>7708</v>
      </c>
      <c r="C9" s="4">
        <v>7681</v>
      </c>
      <c r="D9" s="4">
        <v>7671</v>
      </c>
      <c r="E9" s="4">
        <v>7712</v>
      </c>
      <c r="F9" s="4">
        <v>7609</v>
      </c>
      <c r="G9" s="4">
        <v>7659</v>
      </c>
      <c r="H9" s="4">
        <v>7679</v>
      </c>
      <c r="I9" s="4">
        <v>7689</v>
      </c>
      <c r="J9" s="4">
        <v>7602</v>
      </c>
      <c r="K9" s="4">
        <v>7561</v>
      </c>
      <c r="L9" s="4">
        <v>7506</v>
      </c>
      <c r="M9" s="42">
        <v>7484</v>
      </c>
      <c r="N9" s="13">
        <f t="shared" si="0"/>
        <v>7630.083333333333</v>
      </c>
    </row>
    <row r="10" spans="1:14" ht="12" customHeight="1" x14ac:dyDescent="0.2">
      <c r="A10" s="7" t="str">
        <f>'Pregnant Women Participating'!A10</f>
        <v>New York</v>
      </c>
      <c r="B10" s="13">
        <v>263395</v>
      </c>
      <c r="C10" s="4">
        <v>263751</v>
      </c>
      <c r="D10" s="4">
        <v>264034</v>
      </c>
      <c r="E10" s="4">
        <v>266656</v>
      </c>
      <c r="F10" s="4">
        <v>267743</v>
      </c>
      <c r="G10" s="4">
        <v>270518</v>
      </c>
      <c r="H10" s="4">
        <v>271320</v>
      </c>
      <c r="I10" s="4">
        <v>272801</v>
      </c>
      <c r="J10" s="4">
        <v>272086</v>
      </c>
      <c r="K10" s="4">
        <v>272461</v>
      </c>
      <c r="L10" s="4">
        <v>272602</v>
      </c>
      <c r="M10" s="42">
        <v>274178</v>
      </c>
      <c r="N10" s="13">
        <f t="shared" si="0"/>
        <v>269295.41666666669</v>
      </c>
    </row>
    <row r="11" spans="1:14" ht="12" customHeight="1" x14ac:dyDescent="0.2">
      <c r="A11" s="7" t="str">
        <f>'Pregnant Women Participating'!A11</f>
        <v>Rhode Island</v>
      </c>
      <c r="B11" s="13">
        <v>10466</v>
      </c>
      <c r="C11" s="4">
        <v>10497</v>
      </c>
      <c r="D11" s="4">
        <v>10540</v>
      </c>
      <c r="E11" s="4">
        <v>10615</v>
      </c>
      <c r="F11" s="4">
        <v>10575</v>
      </c>
      <c r="G11" s="4">
        <v>10629</v>
      </c>
      <c r="H11" s="4">
        <v>10636</v>
      </c>
      <c r="I11" s="4">
        <v>10526</v>
      </c>
      <c r="J11" s="4">
        <v>10402</v>
      </c>
      <c r="K11" s="4">
        <v>10441</v>
      </c>
      <c r="L11" s="4">
        <v>10410</v>
      </c>
      <c r="M11" s="42">
        <v>10423</v>
      </c>
      <c r="N11" s="13">
        <f t="shared" si="0"/>
        <v>10513.333333333334</v>
      </c>
    </row>
    <row r="12" spans="1:14" ht="12" customHeight="1" x14ac:dyDescent="0.2">
      <c r="A12" s="7" t="str">
        <f>'Pregnant Women Participating'!A12</f>
        <v>Vermont</v>
      </c>
      <c r="B12" s="13">
        <v>6306</v>
      </c>
      <c r="C12" s="4">
        <v>6373</v>
      </c>
      <c r="D12" s="4">
        <v>6424</v>
      </c>
      <c r="E12" s="4">
        <v>6425</v>
      </c>
      <c r="F12" s="4">
        <v>6432</v>
      </c>
      <c r="G12" s="4">
        <v>6472</v>
      </c>
      <c r="H12" s="4">
        <v>6441</v>
      </c>
      <c r="I12" s="4">
        <v>6395</v>
      </c>
      <c r="J12" s="4">
        <v>6415</v>
      </c>
      <c r="K12" s="4">
        <v>6443</v>
      </c>
      <c r="L12" s="4">
        <v>6466</v>
      </c>
      <c r="M12" s="42">
        <v>6453</v>
      </c>
      <c r="N12" s="13">
        <f t="shared" si="0"/>
        <v>6420.416666666667</v>
      </c>
    </row>
    <row r="13" spans="1:14" ht="12" customHeight="1" x14ac:dyDescent="0.2">
      <c r="A13" s="7" t="str">
        <f>'Pregnant Women Participating'!A13</f>
        <v>Virgin Islands</v>
      </c>
      <c r="B13" s="13">
        <v>1354</v>
      </c>
      <c r="C13" s="4">
        <v>1344</v>
      </c>
      <c r="D13" s="4">
        <v>1316</v>
      </c>
      <c r="E13" s="4">
        <v>1327</v>
      </c>
      <c r="F13" s="4">
        <v>1341</v>
      </c>
      <c r="G13" s="4">
        <v>1293</v>
      </c>
      <c r="H13" s="4">
        <v>1280</v>
      </c>
      <c r="I13" s="4">
        <v>1275</v>
      </c>
      <c r="J13" s="4">
        <v>1271</v>
      </c>
      <c r="K13" s="4">
        <v>1277</v>
      </c>
      <c r="L13" s="4">
        <v>1307</v>
      </c>
      <c r="M13" s="42">
        <v>1316</v>
      </c>
      <c r="N13" s="13">
        <f t="shared" si="0"/>
        <v>1308.4166666666667</v>
      </c>
    </row>
    <row r="14" spans="1:14" ht="12" customHeight="1" x14ac:dyDescent="0.2">
      <c r="A14" s="7" t="str">
        <f>'Pregnant Women Participating'!A14</f>
        <v>Pleasant Point, ME</v>
      </c>
      <c r="B14" s="13">
        <v>24</v>
      </c>
      <c r="C14" s="4">
        <v>24</v>
      </c>
      <c r="D14" s="4">
        <v>24</v>
      </c>
      <c r="E14" s="4">
        <v>23</v>
      </c>
      <c r="F14" s="4">
        <v>20</v>
      </c>
      <c r="G14" s="4">
        <v>20</v>
      </c>
      <c r="H14" s="4">
        <v>25</v>
      </c>
      <c r="I14" s="4">
        <v>24</v>
      </c>
      <c r="J14" s="4">
        <v>23</v>
      </c>
      <c r="K14" s="4">
        <v>25</v>
      </c>
      <c r="L14" s="4">
        <v>24</v>
      </c>
      <c r="M14" s="42">
        <v>24</v>
      </c>
      <c r="N14" s="13">
        <f t="shared" si="0"/>
        <v>23.333333333333332</v>
      </c>
    </row>
    <row r="15" spans="1:14" s="17" customFormat="1" ht="24.75" customHeight="1" x14ac:dyDescent="0.2">
      <c r="A15" s="14" t="str">
        <f>'Pregnant Women Participating'!A15</f>
        <v>Northeast Region</v>
      </c>
      <c r="B15" s="16">
        <v>404039</v>
      </c>
      <c r="C15" s="15">
        <v>403969</v>
      </c>
      <c r="D15" s="15">
        <v>403549</v>
      </c>
      <c r="E15" s="15">
        <v>407279</v>
      </c>
      <c r="F15" s="15">
        <v>407619</v>
      </c>
      <c r="G15" s="15">
        <v>410961</v>
      </c>
      <c r="H15" s="15">
        <v>411219</v>
      </c>
      <c r="I15" s="15">
        <v>412517</v>
      </c>
      <c r="J15" s="15">
        <v>410885</v>
      </c>
      <c r="K15" s="15">
        <v>411799</v>
      </c>
      <c r="L15" s="15">
        <v>411720</v>
      </c>
      <c r="M15" s="41">
        <v>414340</v>
      </c>
      <c r="N15" s="16">
        <f t="shared" ref="N15:N101" si="1">IF(SUM(B15:M15)&gt;0,AVERAGE(B15:M15)," ")</f>
        <v>409158</v>
      </c>
    </row>
    <row r="16" spans="1:14" ht="12" customHeight="1" x14ac:dyDescent="0.2">
      <c r="A16" s="7" t="str">
        <f>'Pregnant Women Participating'!A16</f>
        <v>Delaware</v>
      </c>
      <c r="B16" s="13">
        <v>13795</v>
      </c>
      <c r="C16" s="4">
        <v>13727</v>
      </c>
      <c r="D16" s="4">
        <v>13693</v>
      </c>
      <c r="E16" s="4">
        <v>13738</v>
      </c>
      <c r="F16" s="4">
        <v>13735</v>
      </c>
      <c r="G16" s="4">
        <v>13904</v>
      </c>
      <c r="H16" s="4">
        <v>13870</v>
      </c>
      <c r="I16" s="4">
        <v>14020</v>
      </c>
      <c r="J16" s="4">
        <v>14051</v>
      </c>
      <c r="K16" s="4">
        <v>14029</v>
      </c>
      <c r="L16" s="4">
        <v>14002</v>
      </c>
      <c r="M16" s="42">
        <v>14249</v>
      </c>
      <c r="N16" s="13">
        <f t="shared" si="1"/>
        <v>13901.083333333334</v>
      </c>
    </row>
    <row r="17" spans="1:14" ht="12" customHeight="1" x14ac:dyDescent="0.2">
      <c r="A17" s="7" t="str">
        <f>'Pregnant Women Participating'!A17</f>
        <v>District of Columbia</v>
      </c>
      <c r="B17" s="13">
        <v>6408</v>
      </c>
      <c r="C17" s="4">
        <v>6485</v>
      </c>
      <c r="D17" s="4">
        <v>6619</v>
      </c>
      <c r="E17" s="4">
        <v>6642</v>
      </c>
      <c r="F17" s="4">
        <v>6628</v>
      </c>
      <c r="G17" s="4">
        <v>6664</v>
      </c>
      <c r="H17" s="4">
        <v>6669</v>
      </c>
      <c r="I17" s="4">
        <v>6640</v>
      </c>
      <c r="J17" s="4">
        <v>6631</v>
      </c>
      <c r="K17" s="4">
        <v>6737</v>
      </c>
      <c r="L17" s="4">
        <v>6777</v>
      </c>
      <c r="M17" s="42">
        <v>6815</v>
      </c>
      <c r="N17" s="13">
        <f t="shared" si="1"/>
        <v>6642.916666666667</v>
      </c>
    </row>
    <row r="18" spans="1:14" ht="12" customHeight="1" x14ac:dyDescent="0.2">
      <c r="A18" s="7" t="str">
        <f>'Pregnant Women Participating'!A18</f>
        <v>Maryland</v>
      </c>
      <c r="B18" s="13">
        <v>67226</v>
      </c>
      <c r="C18" s="4">
        <v>66779</v>
      </c>
      <c r="D18" s="4">
        <v>66377</v>
      </c>
      <c r="E18" s="4">
        <v>66528</v>
      </c>
      <c r="F18" s="4">
        <v>66059</v>
      </c>
      <c r="G18" s="4">
        <v>66391</v>
      </c>
      <c r="H18" s="4">
        <v>66619</v>
      </c>
      <c r="I18" s="4">
        <v>67113</v>
      </c>
      <c r="J18" s="4">
        <v>67089</v>
      </c>
      <c r="K18" s="4">
        <v>67435</v>
      </c>
      <c r="L18" s="4">
        <v>67050</v>
      </c>
      <c r="M18" s="42">
        <v>67127</v>
      </c>
      <c r="N18" s="13">
        <f t="shared" si="1"/>
        <v>66816.083333333328</v>
      </c>
    </row>
    <row r="19" spans="1:14" ht="12" customHeight="1" x14ac:dyDescent="0.2">
      <c r="A19" s="7" t="str">
        <f>'Pregnant Women Participating'!A19</f>
        <v>New Jersey</v>
      </c>
      <c r="B19" s="13">
        <v>94771</v>
      </c>
      <c r="C19" s="4">
        <v>94648</v>
      </c>
      <c r="D19" s="4">
        <v>94267</v>
      </c>
      <c r="E19" s="4">
        <v>94215</v>
      </c>
      <c r="F19" s="4">
        <v>94040</v>
      </c>
      <c r="G19" s="4">
        <v>95228</v>
      </c>
      <c r="H19" s="4">
        <v>94758</v>
      </c>
      <c r="I19" s="4">
        <v>95322</v>
      </c>
      <c r="J19" s="4">
        <v>95134</v>
      </c>
      <c r="K19" s="4">
        <v>95625</v>
      </c>
      <c r="L19" s="4">
        <v>96120</v>
      </c>
      <c r="M19" s="42">
        <v>95892</v>
      </c>
      <c r="N19" s="13">
        <f t="shared" si="1"/>
        <v>95001.666666666672</v>
      </c>
    </row>
    <row r="20" spans="1:14" ht="12" customHeight="1" x14ac:dyDescent="0.2">
      <c r="A20" s="7" t="str">
        <f>'Pregnant Women Participating'!A20</f>
        <v>Pennsylvania</v>
      </c>
      <c r="B20" s="13">
        <v>104326</v>
      </c>
      <c r="C20" s="4">
        <v>103564</v>
      </c>
      <c r="D20" s="4">
        <v>102867</v>
      </c>
      <c r="E20" s="4">
        <v>102541</v>
      </c>
      <c r="F20" s="4">
        <v>101290</v>
      </c>
      <c r="G20" s="4">
        <v>102439</v>
      </c>
      <c r="H20" s="4">
        <v>103114</v>
      </c>
      <c r="I20" s="4">
        <v>104433</v>
      </c>
      <c r="J20" s="4">
        <v>105052</v>
      </c>
      <c r="K20" s="4">
        <v>105494</v>
      </c>
      <c r="L20" s="4">
        <v>105245</v>
      </c>
      <c r="M20" s="42">
        <v>105037</v>
      </c>
      <c r="N20" s="13">
        <f t="shared" si="1"/>
        <v>103783.5</v>
      </c>
    </row>
    <row r="21" spans="1:14" ht="12" customHeight="1" x14ac:dyDescent="0.2">
      <c r="A21" s="7" t="str">
        <f>'Pregnant Women Participating'!A21</f>
        <v>Puerto Rico</v>
      </c>
      <c r="B21" s="13">
        <v>55079</v>
      </c>
      <c r="C21" s="4">
        <v>54438</v>
      </c>
      <c r="D21" s="4">
        <v>54382</v>
      </c>
      <c r="E21" s="4">
        <v>54359</v>
      </c>
      <c r="F21" s="4">
        <v>54466</v>
      </c>
      <c r="G21" s="4">
        <v>54643</v>
      </c>
      <c r="H21" s="4">
        <v>54559</v>
      </c>
      <c r="I21" s="4">
        <v>54748</v>
      </c>
      <c r="J21" s="4">
        <v>54915</v>
      </c>
      <c r="K21" s="4">
        <v>55143</v>
      </c>
      <c r="L21" s="4">
        <v>55290</v>
      </c>
      <c r="M21" s="42">
        <v>55585</v>
      </c>
      <c r="N21" s="13">
        <f t="shared" si="1"/>
        <v>54800.583333333336</v>
      </c>
    </row>
    <row r="22" spans="1:14" ht="12" customHeight="1" x14ac:dyDescent="0.2">
      <c r="A22" s="7" t="str">
        <f>'Pregnant Women Participating'!A22</f>
        <v>Virginia</v>
      </c>
      <c r="B22" s="13">
        <v>57116</v>
      </c>
      <c r="C22" s="4">
        <v>56395</v>
      </c>
      <c r="D22" s="4">
        <v>55899</v>
      </c>
      <c r="E22" s="4">
        <v>55768</v>
      </c>
      <c r="F22" s="4">
        <v>54945</v>
      </c>
      <c r="G22" s="4">
        <v>55737</v>
      </c>
      <c r="H22" s="4">
        <v>56109</v>
      </c>
      <c r="I22" s="4">
        <v>56361</v>
      </c>
      <c r="J22" s="4">
        <v>56237</v>
      </c>
      <c r="K22" s="4">
        <v>56658</v>
      </c>
      <c r="L22" s="4">
        <v>56778</v>
      </c>
      <c r="M22" s="42">
        <v>56806</v>
      </c>
      <c r="N22" s="13">
        <f t="shared" si="1"/>
        <v>56234.083333333336</v>
      </c>
    </row>
    <row r="23" spans="1:14" ht="12" customHeight="1" x14ac:dyDescent="0.2">
      <c r="A23" s="7" t="str">
        <f>'Pregnant Women Participating'!A23</f>
        <v>West Virginia</v>
      </c>
      <c r="B23" s="13">
        <v>20268</v>
      </c>
      <c r="C23" s="4">
        <v>20142</v>
      </c>
      <c r="D23" s="4">
        <v>20017</v>
      </c>
      <c r="E23" s="4">
        <v>20018</v>
      </c>
      <c r="F23" s="4">
        <v>19700</v>
      </c>
      <c r="G23" s="4">
        <v>19793</v>
      </c>
      <c r="H23" s="4">
        <v>19987</v>
      </c>
      <c r="I23" s="4">
        <v>19997</v>
      </c>
      <c r="J23" s="4">
        <v>19919</v>
      </c>
      <c r="K23" s="4">
        <v>20008</v>
      </c>
      <c r="L23" s="4">
        <v>20079</v>
      </c>
      <c r="M23" s="42">
        <v>20074</v>
      </c>
      <c r="N23" s="13">
        <f t="shared" si="1"/>
        <v>20000.166666666668</v>
      </c>
    </row>
    <row r="24" spans="1:14" s="17" customFormat="1" ht="24.75" customHeight="1" x14ac:dyDescent="0.2">
      <c r="A24" s="14" t="str">
        <f>'Pregnant Women Participating'!A24</f>
        <v>Mid-Atlantic Region</v>
      </c>
      <c r="B24" s="16">
        <v>418989</v>
      </c>
      <c r="C24" s="15">
        <v>416178</v>
      </c>
      <c r="D24" s="15">
        <v>414121</v>
      </c>
      <c r="E24" s="15">
        <v>413809</v>
      </c>
      <c r="F24" s="15">
        <v>410863</v>
      </c>
      <c r="G24" s="15">
        <v>414799</v>
      </c>
      <c r="H24" s="15">
        <v>415685</v>
      </c>
      <c r="I24" s="15">
        <v>418634</v>
      </c>
      <c r="J24" s="15">
        <v>419028</v>
      </c>
      <c r="K24" s="15">
        <v>421129</v>
      </c>
      <c r="L24" s="15">
        <v>421341</v>
      </c>
      <c r="M24" s="41">
        <v>421585</v>
      </c>
      <c r="N24" s="16">
        <f t="shared" si="1"/>
        <v>417180.08333333331</v>
      </c>
    </row>
    <row r="25" spans="1:14" ht="12" customHeight="1" x14ac:dyDescent="0.2">
      <c r="A25" s="7" t="str">
        <f>'Pregnant Women Participating'!A25</f>
        <v>Alabama</v>
      </c>
      <c r="B25" s="13">
        <v>59604</v>
      </c>
      <c r="C25" s="4">
        <v>58841</v>
      </c>
      <c r="D25" s="4">
        <v>58252</v>
      </c>
      <c r="E25" s="4">
        <v>58441</v>
      </c>
      <c r="F25" s="4">
        <v>58859</v>
      </c>
      <c r="G25" s="4">
        <v>59966</v>
      </c>
      <c r="H25" s="4">
        <v>60139</v>
      </c>
      <c r="I25" s="4">
        <v>60763</v>
      </c>
      <c r="J25" s="4">
        <v>61194</v>
      </c>
      <c r="K25" s="4">
        <v>62280</v>
      </c>
      <c r="L25" s="4">
        <v>62556</v>
      </c>
      <c r="M25" s="42">
        <v>62219</v>
      </c>
      <c r="N25" s="13">
        <f t="shared" si="1"/>
        <v>60259.5</v>
      </c>
    </row>
    <row r="26" spans="1:14" ht="12" customHeight="1" x14ac:dyDescent="0.2">
      <c r="A26" s="7" t="str">
        <f>'Pregnant Women Participating'!A26</f>
        <v>Florida</v>
      </c>
      <c r="B26" s="13">
        <v>234730</v>
      </c>
      <c r="C26" s="4">
        <v>229043</v>
      </c>
      <c r="D26" s="4">
        <v>227326</v>
      </c>
      <c r="E26" s="4">
        <v>230729</v>
      </c>
      <c r="F26" s="4">
        <v>231186</v>
      </c>
      <c r="G26" s="4">
        <v>233314</v>
      </c>
      <c r="H26" s="4">
        <v>235005</v>
      </c>
      <c r="I26" s="4">
        <v>235959</v>
      </c>
      <c r="J26" s="4">
        <v>236577</v>
      </c>
      <c r="K26" s="4">
        <v>238232</v>
      </c>
      <c r="L26" s="4">
        <v>238805</v>
      </c>
      <c r="M26" s="42">
        <v>239407</v>
      </c>
      <c r="N26" s="13">
        <f t="shared" si="1"/>
        <v>234192.75</v>
      </c>
    </row>
    <row r="27" spans="1:14" ht="12" customHeight="1" x14ac:dyDescent="0.2">
      <c r="A27" s="7" t="str">
        <f>'Pregnant Women Participating'!A27</f>
        <v>Georgia</v>
      </c>
      <c r="B27" s="13">
        <v>130134</v>
      </c>
      <c r="C27" s="4">
        <v>129601</v>
      </c>
      <c r="D27" s="4">
        <v>128509</v>
      </c>
      <c r="E27" s="4">
        <v>125567</v>
      </c>
      <c r="F27" s="4">
        <v>126657</v>
      </c>
      <c r="G27" s="4">
        <v>129116</v>
      </c>
      <c r="H27" s="4">
        <v>129809</v>
      </c>
      <c r="I27" s="4">
        <v>130512</v>
      </c>
      <c r="J27" s="4">
        <v>130025</v>
      </c>
      <c r="K27" s="4">
        <v>131353</v>
      </c>
      <c r="L27" s="4">
        <v>132738</v>
      </c>
      <c r="M27" s="42">
        <v>133505</v>
      </c>
      <c r="N27" s="13">
        <f t="shared" si="1"/>
        <v>129793.83333333333</v>
      </c>
    </row>
    <row r="28" spans="1:14" ht="12" customHeight="1" x14ac:dyDescent="0.2">
      <c r="A28" s="7" t="str">
        <f>'Pregnant Women Participating'!A28</f>
        <v>Kentucky</v>
      </c>
      <c r="B28" s="13">
        <v>59323</v>
      </c>
      <c r="C28" s="4">
        <v>59084</v>
      </c>
      <c r="D28" s="4">
        <v>58939</v>
      </c>
      <c r="E28" s="4">
        <v>59646</v>
      </c>
      <c r="F28" s="4">
        <v>59544</v>
      </c>
      <c r="G28" s="4">
        <v>60001</v>
      </c>
      <c r="H28" s="4">
        <v>59866</v>
      </c>
      <c r="I28" s="4">
        <v>59902</v>
      </c>
      <c r="J28" s="4">
        <v>59985</v>
      </c>
      <c r="K28" s="4">
        <v>60368</v>
      </c>
      <c r="L28" s="4">
        <v>60532</v>
      </c>
      <c r="M28" s="42">
        <v>59945</v>
      </c>
      <c r="N28" s="13">
        <f t="shared" si="1"/>
        <v>59761.25</v>
      </c>
    </row>
    <row r="29" spans="1:14" ht="12" customHeight="1" x14ac:dyDescent="0.2">
      <c r="A29" s="7" t="str">
        <f>'Pregnant Women Participating'!A29</f>
        <v>Mississippi</v>
      </c>
      <c r="B29" s="13">
        <v>29401</v>
      </c>
      <c r="C29" s="4">
        <v>29107</v>
      </c>
      <c r="D29" s="4">
        <v>28491</v>
      </c>
      <c r="E29" s="4">
        <v>28299</v>
      </c>
      <c r="F29" s="4">
        <v>28129</v>
      </c>
      <c r="G29" s="4">
        <v>28782</v>
      </c>
      <c r="H29" s="4">
        <v>29368</v>
      </c>
      <c r="I29" s="4">
        <v>29857</v>
      </c>
      <c r="J29" s="4">
        <v>30360</v>
      </c>
      <c r="K29" s="4">
        <v>31212</v>
      </c>
      <c r="L29" s="4">
        <v>31412</v>
      </c>
      <c r="M29" s="42">
        <v>31733</v>
      </c>
      <c r="N29" s="13">
        <f t="shared" si="1"/>
        <v>29679.25</v>
      </c>
    </row>
    <row r="30" spans="1:14" ht="12" customHeight="1" x14ac:dyDescent="0.2">
      <c r="A30" s="7" t="str">
        <f>'Pregnant Women Participating'!A30</f>
        <v>North Carolina</v>
      </c>
      <c r="B30" s="13">
        <v>142415</v>
      </c>
      <c r="C30" s="4">
        <v>142471</v>
      </c>
      <c r="D30" s="4">
        <v>141994</v>
      </c>
      <c r="E30" s="4">
        <v>142493</v>
      </c>
      <c r="F30" s="4">
        <v>141808</v>
      </c>
      <c r="G30" s="4">
        <v>143966</v>
      </c>
      <c r="H30" s="4">
        <v>145065</v>
      </c>
      <c r="I30" s="4">
        <v>145513</v>
      </c>
      <c r="J30" s="4">
        <v>145718</v>
      </c>
      <c r="K30" s="4">
        <v>146976</v>
      </c>
      <c r="L30" s="4">
        <v>147758</v>
      </c>
      <c r="M30" s="42">
        <v>148343</v>
      </c>
      <c r="N30" s="13">
        <f t="shared" si="1"/>
        <v>144543.33333333334</v>
      </c>
    </row>
    <row r="31" spans="1:14" ht="12" customHeight="1" x14ac:dyDescent="0.2">
      <c r="A31" s="7" t="str">
        <f>'Pregnant Women Participating'!A31</f>
        <v>South Carolina</v>
      </c>
      <c r="B31" s="13">
        <v>54962</v>
      </c>
      <c r="C31" s="4">
        <v>54754</v>
      </c>
      <c r="D31" s="4">
        <v>54131</v>
      </c>
      <c r="E31" s="4">
        <v>53670</v>
      </c>
      <c r="F31" s="4">
        <v>53435</v>
      </c>
      <c r="G31" s="4">
        <v>53724</v>
      </c>
      <c r="H31" s="4">
        <v>53858</v>
      </c>
      <c r="I31" s="4">
        <v>53954</v>
      </c>
      <c r="J31" s="4">
        <v>54118</v>
      </c>
      <c r="K31" s="4">
        <v>54601</v>
      </c>
      <c r="L31" s="4">
        <v>54420</v>
      </c>
      <c r="M31" s="42">
        <v>54223</v>
      </c>
      <c r="N31" s="13">
        <f t="shared" si="1"/>
        <v>54154.166666666664</v>
      </c>
    </row>
    <row r="32" spans="1:14" ht="12" customHeight="1" x14ac:dyDescent="0.2">
      <c r="A32" s="7" t="str">
        <f>'Pregnant Women Participating'!A32</f>
        <v>Tennessee</v>
      </c>
      <c r="B32" s="13">
        <v>76045</v>
      </c>
      <c r="C32" s="4">
        <v>76118</v>
      </c>
      <c r="D32" s="4">
        <v>78035</v>
      </c>
      <c r="E32" s="4">
        <v>80190</v>
      </c>
      <c r="F32" s="4">
        <v>80543</v>
      </c>
      <c r="G32" s="4">
        <v>82880</v>
      </c>
      <c r="H32" s="4">
        <v>83957</v>
      </c>
      <c r="I32" s="4">
        <v>85831</v>
      </c>
      <c r="J32" s="4">
        <v>86031</v>
      </c>
      <c r="K32" s="4">
        <v>87084</v>
      </c>
      <c r="L32" s="4">
        <v>87558</v>
      </c>
      <c r="M32" s="42">
        <v>87376</v>
      </c>
      <c r="N32" s="13">
        <f t="shared" si="1"/>
        <v>82637.333333333328</v>
      </c>
    </row>
    <row r="33" spans="1:14" ht="12" customHeight="1" x14ac:dyDescent="0.2">
      <c r="A33" s="7" t="str">
        <f>'Pregnant Women Participating'!A33</f>
        <v>Choctaw Indians, MS</v>
      </c>
      <c r="B33" s="13">
        <v>453</v>
      </c>
      <c r="C33" s="4">
        <v>458</v>
      </c>
      <c r="D33" s="4">
        <v>445</v>
      </c>
      <c r="E33" s="4">
        <v>438</v>
      </c>
      <c r="F33" s="4">
        <v>444</v>
      </c>
      <c r="G33" s="4">
        <v>417</v>
      </c>
      <c r="H33" s="4">
        <v>412</v>
      </c>
      <c r="I33" s="4">
        <v>415</v>
      </c>
      <c r="J33" s="4">
        <v>402</v>
      </c>
      <c r="K33" s="4">
        <v>389</v>
      </c>
      <c r="L33" s="4">
        <v>405</v>
      </c>
      <c r="M33" s="42">
        <v>378</v>
      </c>
      <c r="N33" s="13">
        <f t="shared" si="1"/>
        <v>421.33333333333331</v>
      </c>
    </row>
    <row r="34" spans="1:14" ht="12" customHeight="1" x14ac:dyDescent="0.2">
      <c r="A34" s="7" t="str">
        <f>'Pregnant Women Participating'!A34</f>
        <v>Eastern Cherokee, NC</v>
      </c>
      <c r="B34" s="13">
        <v>273</v>
      </c>
      <c r="C34" s="4">
        <v>280</v>
      </c>
      <c r="D34" s="4">
        <v>270</v>
      </c>
      <c r="E34" s="4">
        <v>269</v>
      </c>
      <c r="F34" s="4">
        <v>255</v>
      </c>
      <c r="G34" s="4">
        <v>235</v>
      </c>
      <c r="H34" s="4">
        <v>226</v>
      </c>
      <c r="I34" s="4">
        <v>235</v>
      </c>
      <c r="J34" s="4">
        <v>234</v>
      </c>
      <c r="K34" s="4">
        <v>238</v>
      </c>
      <c r="L34" s="4">
        <v>250</v>
      </c>
      <c r="M34" s="42">
        <v>244</v>
      </c>
      <c r="N34" s="13">
        <f t="shared" si="1"/>
        <v>250.75</v>
      </c>
    </row>
    <row r="35" spans="1:14" s="17" customFormat="1" ht="24.75" customHeight="1" x14ac:dyDescent="0.2">
      <c r="A35" s="14" t="str">
        <f>'Pregnant Women Participating'!A35</f>
        <v>Southeast Region</v>
      </c>
      <c r="B35" s="16">
        <v>787340</v>
      </c>
      <c r="C35" s="15">
        <v>779757</v>
      </c>
      <c r="D35" s="15">
        <v>776392</v>
      </c>
      <c r="E35" s="15">
        <v>779742</v>
      </c>
      <c r="F35" s="15">
        <v>780860</v>
      </c>
      <c r="G35" s="15">
        <v>792401</v>
      </c>
      <c r="H35" s="15">
        <v>797705</v>
      </c>
      <c r="I35" s="15">
        <v>802941</v>
      </c>
      <c r="J35" s="15">
        <v>804644</v>
      </c>
      <c r="K35" s="15">
        <v>812733</v>
      </c>
      <c r="L35" s="15">
        <v>816434</v>
      </c>
      <c r="M35" s="41">
        <v>817373</v>
      </c>
      <c r="N35" s="16">
        <f t="shared" si="1"/>
        <v>795693.5</v>
      </c>
    </row>
    <row r="36" spans="1:14" ht="12" customHeight="1" x14ac:dyDescent="0.2">
      <c r="A36" s="7" t="str">
        <f>'Pregnant Women Participating'!A36</f>
        <v>Illinois</v>
      </c>
      <c r="B36" s="13">
        <v>90054</v>
      </c>
      <c r="C36" s="4">
        <v>89301</v>
      </c>
      <c r="D36" s="4">
        <v>88750</v>
      </c>
      <c r="E36" s="4">
        <v>89365</v>
      </c>
      <c r="F36" s="4">
        <v>89081</v>
      </c>
      <c r="G36" s="4">
        <v>90129</v>
      </c>
      <c r="H36" s="4">
        <v>90492</v>
      </c>
      <c r="I36" s="4">
        <v>90810</v>
      </c>
      <c r="J36" s="4">
        <v>91036</v>
      </c>
      <c r="K36" s="4">
        <v>91867</v>
      </c>
      <c r="L36" s="4">
        <v>92498</v>
      </c>
      <c r="M36" s="42">
        <v>92717</v>
      </c>
      <c r="N36" s="13">
        <f t="shared" si="1"/>
        <v>90508.333333333328</v>
      </c>
    </row>
    <row r="37" spans="1:14" ht="12" customHeight="1" x14ac:dyDescent="0.2">
      <c r="A37" s="7" t="str">
        <f>'Pregnant Women Participating'!A37</f>
        <v>Indiana</v>
      </c>
      <c r="B37" s="13">
        <v>86149</v>
      </c>
      <c r="C37" s="4">
        <v>85416</v>
      </c>
      <c r="D37" s="4">
        <v>84959</v>
      </c>
      <c r="E37" s="4">
        <v>85608</v>
      </c>
      <c r="F37" s="4">
        <v>85133</v>
      </c>
      <c r="G37" s="4">
        <v>86236</v>
      </c>
      <c r="H37" s="4">
        <v>86511</v>
      </c>
      <c r="I37" s="4">
        <v>87046</v>
      </c>
      <c r="J37" s="4">
        <v>86981</v>
      </c>
      <c r="K37" s="4">
        <v>87647</v>
      </c>
      <c r="L37" s="4">
        <v>87639</v>
      </c>
      <c r="M37" s="42">
        <v>87727</v>
      </c>
      <c r="N37" s="13">
        <f t="shared" si="1"/>
        <v>86421</v>
      </c>
    </row>
    <row r="38" spans="1:14" ht="12" customHeight="1" x14ac:dyDescent="0.2">
      <c r="A38" s="7" t="str">
        <f>'Pregnant Women Participating'!A38</f>
        <v>Iowa</v>
      </c>
      <c r="B38" s="13">
        <v>34884</v>
      </c>
      <c r="C38" s="4">
        <v>34765</v>
      </c>
      <c r="D38" s="4">
        <v>34773</v>
      </c>
      <c r="E38" s="4">
        <v>34889</v>
      </c>
      <c r="F38" s="4">
        <v>34971</v>
      </c>
      <c r="G38" s="4">
        <v>35157</v>
      </c>
      <c r="H38" s="4">
        <v>35473</v>
      </c>
      <c r="I38" s="4">
        <v>35506</v>
      </c>
      <c r="J38" s="4">
        <v>35664</v>
      </c>
      <c r="K38" s="4">
        <v>35720</v>
      </c>
      <c r="L38" s="4">
        <v>35723</v>
      </c>
      <c r="M38" s="42">
        <v>35792</v>
      </c>
      <c r="N38" s="13">
        <f t="shared" si="1"/>
        <v>35276.416666666664</v>
      </c>
    </row>
    <row r="39" spans="1:14" ht="12" customHeight="1" x14ac:dyDescent="0.2">
      <c r="A39" s="7" t="str">
        <f>'Pregnant Women Participating'!A39</f>
        <v>Michigan</v>
      </c>
      <c r="B39" s="13">
        <v>105993</v>
      </c>
      <c r="C39" s="4">
        <v>106047</v>
      </c>
      <c r="D39" s="4">
        <v>105555</v>
      </c>
      <c r="E39" s="4">
        <v>106048</v>
      </c>
      <c r="F39" s="4">
        <v>105561</v>
      </c>
      <c r="G39" s="4">
        <v>105613</v>
      </c>
      <c r="H39" s="4">
        <v>105852</v>
      </c>
      <c r="I39" s="4">
        <v>105949</v>
      </c>
      <c r="J39" s="4">
        <v>106264</v>
      </c>
      <c r="K39" s="4">
        <v>106444</v>
      </c>
      <c r="L39" s="4">
        <v>106268</v>
      </c>
      <c r="M39" s="42">
        <v>106138</v>
      </c>
      <c r="N39" s="13">
        <f t="shared" si="1"/>
        <v>105977.66666666667</v>
      </c>
    </row>
    <row r="40" spans="1:14" ht="12" customHeight="1" x14ac:dyDescent="0.2">
      <c r="A40" s="7" t="str">
        <f>'Pregnant Women Participating'!A40</f>
        <v>Minnesota</v>
      </c>
      <c r="B40" s="13">
        <v>58680</v>
      </c>
      <c r="C40" s="4">
        <v>58317</v>
      </c>
      <c r="D40" s="4">
        <v>57877</v>
      </c>
      <c r="E40" s="4">
        <v>58265</v>
      </c>
      <c r="F40" s="4">
        <v>57967</v>
      </c>
      <c r="G40" s="4">
        <v>58447</v>
      </c>
      <c r="H40" s="4">
        <v>58646</v>
      </c>
      <c r="I40" s="4">
        <v>58925</v>
      </c>
      <c r="J40" s="4">
        <v>59065</v>
      </c>
      <c r="K40" s="4">
        <v>59564</v>
      </c>
      <c r="L40" s="4">
        <v>59904</v>
      </c>
      <c r="M40" s="42">
        <v>60487</v>
      </c>
      <c r="N40" s="13">
        <f t="shared" si="1"/>
        <v>58845.333333333336</v>
      </c>
    </row>
    <row r="41" spans="1:14" ht="12" customHeight="1" x14ac:dyDescent="0.2">
      <c r="A41" s="7" t="str">
        <f>'Pregnant Women Participating'!A41</f>
        <v>Ohio</v>
      </c>
      <c r="B41" s="13">
        <v>96727</v>
      </c>
      <c r="C41" s="4">
        <v>96118</v>
      </c>
      <c r="D41" s="4">
        <v>94941</v>
      </c>
      <c r="E41" s="4">
        <v>94186</v>
      </c>
      <c r="F41" s="4">
        <v>93610</v>
      </c>
      <c r="G41" s="4">
        <v>94187</v>
      </c>
      <c r="H41" s="4">
        <v>95430</v>
      </c>
      <c r="I41" s="4">
        <v>96161</v>
      </c>
      <c r="J41" s="4">
        <v>96538</v>
      </c>
      <c r="K41" s="4">
        <v>96998</v>
      </c>
      <c r="L41" s="4">
        <v>97333</v>
      </c>
      <c r="M41" s="42">
        <v>98139</v>
      </c>
      <c r="N41" s="13">
        <f t="shared" si="1"/>
        <v>95864</v>
      </c>
    </row>
    <row r="42" spans="1:14" ht="12" customHeight="1" x14ac:dyDescent="0.2">
      <c r="A42" s="7" t="str">
        <f>'Pregnant Women Participating'!A42</f>
        <v>Wisconsin</v>
      </c>
      <c r="B42" s="13">
        <v>54778</v>
      </c>
      <c r="C42" s="4">
        <v>54819</v>
      </c>
      <c r="D42" s="4">
        <v>54649</v>
      </c>
      <c r="E42" s="4">
        <v>55067</v>
      </c>
      <c r="F42" s="4">
        <v>54973</v>
      </c>
      <c r="G42" s="4">
        <v>55314</v>
      </c>
      <c r="H42" s="4">
        <v>55566</v>
      </c>
      <c r="I42" s="4">
        <v>55731</v>
      </c>
      <c r="J42" s="4">
        <v>55615</v>
      </c>
      <c r="K42" s="4">
        <v>55759</v>
      </c>
      <c r="L42" s="4">
        <v>55529</v>
      </c>
      <c r="M42" s="42">
        <v>55725</v>
      </c>
      <c r="N42" s="13">
        <f t="shared" si="1"/>
        <v>55293.75</v>
      </c>
    </row>
    <row r="43" spans="1:14" s="17" customFormat="1" ht="24.75" customHeight="1" x14ac:dyDescent="0.2">
      <c r="A43" s="14" t="str">
        <f>'Pregnant Women Participating'!A43</f>
        <v>Midwest Region</v>
      </c>
      <c r="B43" s="16">
        <v>527265</v>
      </c>
      <c r="C43" s="15">
        <v>524783</v>
      </c>
      <c r="D43" s="15">
        <v>521504</v>
      </c>
      <c r="E43" s="15">
        <v>523428</v>
      </c>
      <c r="F43" s="15">
        <v>521296</v>
      </c>
      <c r="G43" s="15">
        <v>525083</v>
      </c>
      <c r="H43" s="15">
        <v>527970</v>
      </c>
      <c r="I43" s="15">
        <v>530128</v>
      </c>
      <c r="J43" s="15">
        <v>531163</v>
      </c>
      <c r="K43" s="15">
        <v>533999</v>
      </c>
      <c r="L43" s="15">
        <v>534894</v>
      </c>
      <c r="M43" s="41">
        <v>536725</v>
      </c>
      <c r="N43" s="16">
        <f t="shared" si="1"/>
        <v>528186.5</v>
      </c>
    </row>
    <row r="44" spans="1:14" ht="12" customHeight="1" x14ac:dyDescent="0.2">
      <c r="A44" s="7" t="str">
        <f>'Pregnant Women Participating'!A44</f>
        <v>Arizona</v>
      </c>
      <c r="B44" s="13">
        <v>86174</v>
      </c>
      <c r="C44" s="4">
        <v>85544</v>
      </c>
      <c r="D44" s="4">
        <v>85312</v>
      </c>
      <c r="E44" s="4">
        <v>85618</v>
      </c>
      <c r="F44" s="4">
        <v>84997</v>
      </c>
      <c r="G44" s="4">
        <v>84932</v>
      </c>
      <c r="H44" s="4">
        <v>84864</v>
      </c>
      <c r="I44" s="4">
        <v>84955</v>
      </c>
      <c r="J44" s="4">
        <v>83962</v>
      </c>
      <c r="K44" s="4">
        <v>84567</v>
      </c>
      <c r="L44" s="4">
        <v>84600</v>
      </c>
      <c r="M44" s="42">
        <v>85204</v>
      </c>
      <c r="N44" s="13">
        <f t="shared" si="1"/>
        <v>85060.75</v>
      </c>
    </row>
    <row r="45" spans="1:14" ht="12" customHeight="1" x14ac:dyDescent="0.2">
      <c r="A45" s="7" t="str">
        <f>'Pregnant Women Participating'!A45</f>
        <v>Arkansas</v>
      </c>
      <c r="B45" s="13">
        <v>32935</v>
      </c>
      <c r="C45" s="4">
        <v>32581</v>
      </c>
      <c r="D45" s="4">
        <v>32344</v>
      </c>
      <c r="E45" s="4">
        <v>32499</v>
      </c>
      <c r="F45" s="4">
        <v>31998</v>
      </c>
      <c r="G45" s="4">
        <v>32199</v>
      </c>
      <c r="H45" s="4">
        <v>32690</v>
      </c>
      <c r="I45" s="4">
        <v>32909</v>
      </c>
      <c r="J45" s="4">
        <v>33235</v>
      </c>
      <c r="K45" s="4">
        <v>33553</v>
      </c>
      <c r="L45" s="4">
        <v>33879</v>
      </c>
      <c r="M45" s="42">
        <v>34061</v>
      </c>
      <c r="N45" s="13">
        <f t="shared" si="1"/>
        <v>32906.916666666664</v>
      </c>
    </row>
    <row r="46" spans="1:14" ht="12" customHeight="1" x14ac:dyDescent="0.2">
      <c r="A46" s="7" t="str">
        <f>'Pregnant Women Participating'!A46</f>
        <v>Louisiana</v>
      </c>
      <c r="B46" s="13">
        <v>47834</v>
      </c>
      <c r="C46" s="4">
        <v>47433</v>
      </c>
      <c r="D46" s="4">
        <v>47179</v>
      </c>
      <c r="E46" s="4">
        <v>46847</v>
      </c>
      <c r="F46" s="4">
        <v>47217</v>
      </c>
      <c r="G46" s="4">
        <v>47593</v>
      </c>
      <c r="H46" s="4">
        <v>48186</v>
      </c>
      <c r="I46" s="4">
        <v>48347</v>
      </c>
      <c r="J46" s="4">
        <v>49183</v>
      </c>
      <c r="K46" s="4">
        <v>49868</v>
      </c>
      <c r="L46" s="4">
        <v>50745</v>
      </c>
      <c r="M46" s="42">
        <v>51423</v>
      </c>
      <c r="N46" s="13">
        <f t="shared" si="1"/>
        <v>48487.916666666664</v>
      </c>
    </row>
    <row r="47" spans="1:14" ht="12" customHeight="1" x14ac:dyDescent="0.2">
      <c r="A47" s="7" t="str">
        <f>'Pregnant Women Participating'!A47</f>
        <v>New Mexico</v>
      </c>
      <c r="B47" s="13">
        <v>21384</v>
      </c>
      <c r="C47" s="4">
        <v>21237</v>
      </c>
      <c r="D47" s="4">
        <v>21246</v>
      </c>
      <c r="E47" s="4">
        <v>21595</v>
      </c>
      <c r="F47" s="4">
        <v>21991</v>
      </c>
      <c r="G47" s="4">
        <v>22220</v>
      </c>
      <c r="H47" s="4">
        <v>22509</v>
      </c>
      <c r="I47" s="4">
        <v>22736</v>
      </c>
      <c r="J47" s="4">
        <v>22909</v>
      </c>
      <c r="K47" s="4">
        <v>23146</v>
      </c>
      <c r="L47" s="4">
        <v>23450</v>
      </c>
      <c r="M47" s="42">
        <v>23798</v>
      </c>
      <c r="N47" s="13">
        <f t="shared" si="1"/>
        <v>22351.75</v>
      </c>
    </row>
    <row r="48" spans="1:14" ht="12" customHeight="1" x14ac:dyDescent="0.2">
      <c r="A48" s="7" t="str">
        <f>'Pregnant Women Participating'!A48</f>
        <v>Oklahoma</v>
      </c>
      <c r="B48" s="13">
        <v>39323</v>
      </c>
      <c r="C48" s="4">
        <v>38664</v>
      </c>
      <c r="D48" s="4">
        <v>37946</v>
      </c>
      <c r="E48" s="4">
        <v>38042</v>
      </c>
      <c r="F48" s="4">
        <v>37206</v>
      </c>
      <c r="G48" s="4">
        <v>37486</v>
      </c>
      <c r="H48" s="4">
        <v>37781</v>
      </c>
      <c r="I48" s="4">
        <v>38032</v>
      </c>
      <c r="J48" s="4">
        <v>38247</v>
      </c>
      <c r="K48" s="4">
        <v>38687</v>
      </c>
      <c r="L48" s="4">
        <v>38904</v>
      </c>
      <c r="M48" s="42">
        <v>39402</v>
      </c>
      <c r="N48" s="13">
        <f t="shared" si="1"/>
        <v>38310</v>
      </c>
    </row>
    <row r="49" spans="1:14" ht="12" customHeight="1" x14ac:dyDescent="0.2">
      <c r="A49" s="7" t="str">
        <f>'Pregnant Women Participating'!A49</f>
        <v>Texas</v>
      </c>
      <c r="B49" s="13">
        <v>403122</v>
      </c>
      <c r="C49" s="4">
        <v>400309</v>
      </c>
      <c r="D49" s="4">
        <v>396928</v>
      </c>
      <c r="E49" s="4">
        <v>396402</v>
      </c>
      <c r="F49" s="4">
        <v>398917</v>
      </c>
      <c r="G49" s="4">
        <v>401703</v>
      </c>
      <c r="H49" s="4">
        <v>403816</v>
      </c>
      <c r="I49" s="4">
        <v>404975</v>
      </c>
      <c r="J49" s="4">
        <v>406773</v>
      </c>
      <c r="K49" s="4">
        <v>408868</v>
      </c>
      <c r="L49" s="4">
        <v>411902</v>
      </c>
      <c r="M49" s="42">
        <v>414927</v>
      </c>
      <c r="N49" s="13">
        <f t="shared" si="1"/>
        <v>404053.5</v>
      </c>
    </row>
    <row r="50" spans="1:14" ht="12" customHeight="1" x14ac:dyDescent="0.2">
      <c r="A50" s="7" t="str">
        <f>'Pregnant Women Participating'!A50</f>
        <v>Utah</v>
      </c>
      <c r="B50" s="13">
        <v>26111</v>
      </c>
      <c r="C50" s="4">
        <v>25660</v>
      </c>
      <c r="D50" s="4">
        <v>25817</v>
      </c>
      <c r="E50" s="4">
        <v>26063</v>
      </c>
      <c r="F50" s="4">
        <v>26129</v>
      </c>
      <c r="G50" s="4">
        <v>26502</v>
      </c>
      <c r="H50" s="4">
        <v>26587</v>
      </c>
      <c r="I50" s="4">
        <v>26683</v>
      </c>
      <c r="J50" s="4">
        <v>26744</v>
      </c>
      <c r="K50" s="4">
        <v>26778</v>
      </c>
      <c r="L50" s="4">
        <v>26858</v>
      </c>
      <c r="M50" s="42">
        <v>26991</v>
      </c>
      <c r="N50" s="13">
        <f t="shared" si="1"/>
        <v>26410.25</v>
      </c>
    </row>
    <row r="51" spans="1:14" ht="12" customHeight="1" x14ac:dyDescent="0.2">
      <c r="A51" s="7" t="str">
        <f>'Pregnant Women Participating'!A51</f>
        <v>Inter-Tribal Council, AZ</v>
      </c>
      <c r="B51" s="13">
        <v>4032</v>
      </c>
      <c r="C51" s="4">
        <v>3905</v>
      </c>
      <c r="D51" s="4">
        <v>3994</v>
      </c>
      <c r="E51" s="4">
        <v>4068</v>
      </c>
      <c r="F51" s="4">
        <v>3981</v>
      </c>
      <c r="G51" s="4">
        <v>4051</v>
      </c>
      <c r="H51" s="4">
        <v>4014</v>
      </c>
      <c r="I51" s="4">
        <v>4026</v>
      </c>
      <c r="J51" s="4">
        <v>4047</v>
      </c>
      <c r="K51" s="4">
        <v>4126</v>
      </c>
      <c r="L51" s="4">
        <v>4036</v>
      </c>
      <c r="M51" s="42">
        <v>4099</v>
      </c>
      <c r="N51" s="13">
        <f t="shared" si="1"/>
        <v>4031.5833333333335</v>
      </c>
    </row>
    <row r="52" spans="1:14" ht="12" customHeight="1" x14ac:dyDescent="0.2">
      <c r="A52" s="7" t="str">
        <f>'Pregnant Women Participating'!A52</f>
        <v>Navajo Nation, AZ</v>
      </c>
      <c r="B52" s="13">
        <v>2551</v>
      </c>
      <c r="C52" s="4">
        <v>2511</v>
      </c>
      <c r="D52" s="4">
        <v>2452</v>
      </c>
      <c r="E52" s="4">
        <v>2546</v>
      </c>
      <c r="F52" s="4">
        <v>2554</v>
      </c>
      <c r="G52" s="4">
        <v>2533</v>
      </c>
      <c r="H52" s="4">
        <v>2508</v>
      </c>
      <c r="I52" s="4">
        <v>2535</v>
      </c>
      <c r="J52" s="4">
        <v>2483</v>
      </c>
      <c r="K52" s="4">
        <v>2487</v>
      </c>
      <c r="L52" s="4">
        <v>2508</v>
      </c>
      <c r="M52" s="42">
        <v>2499</v>
      </c>
      <c r="N52" s="13">
        <f t="shared" si="1"/>
        <v>2513.9166666666665</v>
      </c>
    </row>
    <row r="53" spans="1:14" ht="12" customHeight="1" x14ac:dyDescent="0.2">
      <c r="A53" s="7" t="str">
        <f>'Pregnant Women Participating'!A53</f>
        <v>Acoma, Canoncito &amp; Laguna, NM</v>
      </c>
      <c r="B53" s="13">
        <v>158</v>
      </c>
      <c r="C53" s="4">
        <v>169</v>
      </c>
      <c r="D53" s="4">
        <v>173</v>
      </c>
      <c r="E53" s="4">
        <v>151</v>
      </c>
      <c r="F53" s="4">
        <v>163</v>
      </c>
      <c r="G53" s="4">
        <v>172</v>
      </c>
      <c r="H53" s="4">
        <v>167</v>
      </c>
      <c r="I53" s="4">
        <v>179</v>
      </c>
      <c r="J53" s="4">
        <v>184</v>
      </c>
      <c r="K53" s="4">
        <v>158</v>
      </c>
      <c r="L53" s="4">
        <v>177</v>
      </c>
      <c r="M53" s="42">
        <v>185</v>
      </c>
      <c r="N53" s="13">
        <f t="shared" si="1"/>
        <v>169.66666666666666</v>
      </c>
    </row>
    <row r="54" spans="1:14" ht="12" customHeight="1" x14ac:dyDescent="0.2">
      <c r="A54" s="7" t="str">
        <f>'Pregnant Women Participating'!A54</f>
        <v>Eight Northern Pueblos, NM</v>
      </c>
      <c r="B54" s="13">
        <v>151</v>
      </c>
      <c r="C54" s="4">
        <v>154</v>
      </c>
      <c r="D54" s="4">
        <v>159</v>
      </c>
      <c r="E54" s="4">
        <v>152</v>
      </c>
      <c r="F54" s="4">
        <v>161</v>
      </c>
      <c r="G54" s="4">
        <v>161</v>
      </c>
      <c r="H54" s="4">
        <v>164</v>
      </c>
      <c r="I54" s="4">
        <v>168</v>
      </c>
      <c r="J54" s="4">
        <v>177</v>
      </c>
      <c r="K54" s="4">
        <v>174</v>
      </c>
      <c r="L54" s="4">
        <v>185</v>
      </c>
      <c r="M54" s="42">
        <v>181</v>
      </c>
      <c r="N54" s="13">
        <f t="shared" si="1"/>
        <v>165.58333333333334</v>
      </c>
    </row>
    <row r="55" spans="1:14" ht="12" customHeight="1" x14ac:dyDescent="0.2">
      <c r="A55" s="7" t="str">
        <f>'Pregnant Women Participating'!A55</f>
        <v>Five Sandoval Pueblos, NM</v>
      </c>
      <c r="B55" s="13">
        <v>88</v>
      </c>
      <c r="C55" s="4">
        <v>85</v>
      </c>
      <c r="D55" s="4">
        <v>83</v>
      </c>
      <c r="E55" s="4">
        <v>93</v>
      </c>
      <c r="F55" s="4">
        <v>88</v>
      </c>
      <c r="G55" s="4">
        <v>90</v>
      </c>
      <c r="H55" s="4">
        <v>99</v>
      </c>
      <c r="I55" s="4">
        <v>104</v>
      </c>
      <c r="J55" s="4">
        <v>98</v>
      </c>
      <c r="K55" s="4">
        <v>88</v>
      </c>
      <c r="L55" s="4">
        <v>91</v>
      </c>
      <c r="M55" s="42">
        <v>93</v>
      </c>
      <c r="N55" s="13">
        <f t="shared" si="1"/>
        <v>91.666666666666671</v>
      </c>
    </row>
    <row r="56" spans="1:14" ht="12" customHeight="1" x14ac:dyDescent="0.2">
      <c r="A56" s="7" t="str">
        <f>'Pregnant Women Participating'!A56</f>
        <v>Isleta Pueblo, NM</v>
      </c>
      <c r="B56" s="13">
        <v>567</v>
      </c>
      <c r="C56" s="4">
        <v>532</v>
      </c>
      <c r="D56" s="4">
        <v>536</v>
      </c>
      <c r="E56" s="4">
        <v>545</v>
      </c>
      <c r="F56" s="4">
        <v>545</v>
      </c>
      <c r="G56" s="4">
        <v>557</v>
      </c>
      <c r="H56" s="4">
        <v>549</v>
      </c>
      <c r="I56" s="4">
        <v>551</v>
      </c>
      <c r="J56" s="4">
        <v>548</v>
      </c>
      <c r="K56" s="4">
        <v>531</v>
      </c>
      <c r="L56" s="4">
        <v>539</v>
      </c>
      <c r="M56" s="42">
        <v>551</v>
      </c>
      <c r="N56" s="13">
        <f t="shared" si="1"/>
        <v>545.91666666666663</v>
      </c>
    </row>
    <row r="57" spans="1:14" ht="12" customHeight="1" x14ac:dyDescent="0.2">
      <c r="A57" s="7" t="str">
        <f>'Pregnant Women Participating'!A57</f>
        <v>San Felipe Pueblo, NM</v>
      </c>
      <c r="B57" s="13">
        <v>144</v>
      </c>
      <c r="C57" s="4">
        <v>136</v>
      </c>
      <c r="D57" s="4">
        <v>120</v>
      </c>
      <c r="E57" s="4">
        <v>141</v>
      </c>
      <c r="F57" s="4">
        <v>124</v>
      </c>
      <c r="G57" s="4">
        <v>114</v>
      </c>
      <c r="H57" s="4">
        <v>109</v>
      </c>
      <c r="I57" s="4">
        <v>114</v>
      </c>
      <c r="J57" s="4">
        <v>121</v>
      </c>
      <c r="K57" s="4">
        <v>114</v>
      </c>
      <c r="L57" s="4">
        <v>105</v>
      </c>
      <c r="M57" s="42">
        <v>112</v>
      </c>
      <c r="N57" s="13">
        <f t="shared" si="1"/>
        <v>121.16666666666667</v>
      </c>
    </row>
    <row r="58" spans="1:14" ht="12" customHeight="1" x14ac:dyDescent="0.2">
      <c r="A58" s="7" t="str">
        <f>'Pregnant Women Participating'!A58</f>
        <v>Santo Domingo Tribe, NM</v>
      </c>
      <c r="B58" s="13">
        <v>78</v>
      </c>
      <c r="C58" s="4">
        <v>74</v>
      </c>
      <c r="D58" s="4">
        <v>77</v>
      </c>
      <c r="E58" s="4">
        <v>82</v>
      </c>
      <c r="F58" s="4">
        <v>77</v>
      </c>
      <c r="G58" s="4">
        <v>80</v>
      </c>
      <c r="H58" s="4">
        <v>87</v>
      </c>
      <c r="I58" s="4">
        <v>88</v>
      </c>
      <c r="J58" s="4">
        <v>92</v>
      </c>
      <c r="K58" s="4">
        <v>94</v>
      </c>
      <c r="L58" s="4">
        <v>91</v>
      </c>
      <c r="M58" s="42">
        <v>90</v>
      </c>
      <c r="N58" s="13">
        <f t="shared" si="1"/>
        <v>84.166666666666671</v>
      </c>
    </row>
    <row r="59" spans="1:14" ht="12" customHeight="1" x14ac:dyDescent="0.2">
      <c r="A59" s="7" t="str">
        <f>'Pregnant Women Participating'!A59</f>
        <v>Zuni Pueblo, NM</v>
      </c>
      <c r="B59" s="13">
        <v>258</v>
      </c>
      <c r="C59" s="4">
        <v>272</v>
      </c>
      <c r="D59" s="4">
        <v>272</v>
      </c>
      <c r="E59" s="4">
        <v>273</v>
      </c>
      <c r="F59" s="4">
        <v>292</v>
      </c>
      <c r="G59" s="4">
        <v>291</v>
      </c>
      <c r="H59" s="4">
        <v>251</v>
      </c>
      <c r="I59" s="4">
        <v>276</v>
      </c>
      <c r="J59" s="4">
        <v>294</v>
      </c>
      <c r="K59" s="4">
        <v>282</v>
      </c>
      <c r="L59" s="4">
        <v>291</v>
      </c>
      <c r="M59" s="42">
        <v>290</v>
      </c>
      <c r="N59" s="13">
        <f t="shared" si="1"/>
        <v>278.5</v>
      </c>
    </row>
    <row r="60" spans="1:14" ht="12" customHeight="1" x14ac:dyDescent="0.2">
      <c r="A60" s="7" t="str">
        <f>'Pregnant Women Participating'!A60</f>
        <v>Cherokee Nation, OK</v>
      </c>
      <c r="B60" s="13">
        <v>3150</v>
      </c>
      <c r="C60" s="4">
        <v>3156</v>
      </c>
      <c r="D60" s="4">
        <v>3143</v>
      </c>
      <c r="E60" s="4">
        <v>3131</v>
      </c>
      <c r="F60" s="4">
        <v>3086</v>
      </c>
      <c r="G60" s="4">
        <v>3104</v>
      </c>
      <c r="H60" s="4">
        <v>3148</v>
      </c>
      <c r="I60" s="4">
        <v>3202</v>
      </c>
      <c r="J60" s="4">
        <v>3276</v>
      </c>
      <c r="K60" s="4">
        <v>3276</v>
      </c>
      <c r="L60" s="4">
        <v>3224</v>
      </c>
      <c r="M60" s="42">
        <v>3171</v>
      </c>
      <c r="N60" s="13">
        <f t="shared" si="1"/>
        <v>3172.25</v>
      </c>
    </row>
    <row r="61" spans="1:14" ht="12" customHeight="1" x14ac:dyDescent="0.2">
      <c r="A61" s="7" t="str">
        <f>'Pregnant Women Participating'!A61</f>
        <v>Chickasaw Nation, OK</v>
      </c>
      <c r="B61" s="13">
        <v>2143</v>
      </c>
      <c r="C61" s="4">
        <v>2104</v>
      </c>
      <c r="D61" s="4">
        <v>2126</v>
      </c>
      <c r="E61" s="4">
        <v>2153</v>
      </c>
      <c r="F61" s="4">
        <v>2084</v>
      </c>
      <c r="G61" s="4">
        <v>2063</v>
      </c>
      <c r="H61" s="4">
        <v>2095</v>
      </c>
      <c r="I61" s="4">
        <v>2119</v>
      </c>
      <c r="J61" s="4">
        <v>2102</v>
      </c>
      <c r="K61" s="4">
        <v>2155</v>
      </c>
      <c r="L61" s="4">
        <v>2167</v>
      </c>
      <c r="M61" s="42">
        <v>2168</v>
      </c>
      <c r="N61" s="13">
        <f t="shared" si="1"/>
        <v>2123.25</v>
      </c>
    </row>
    <row r="62" spans="1:14" ht="12" customHeight="1" x14ac:dyDescent="0.2">
      <c r="A62" s="7" t="str">
        <f>'Pregnant Women Participating'!A62</f>
        <v>Choctaw Nation, OK</v>
      </c>
      <c r="B62" s="13">
        <v>2881</v>
      </c>
      <c r="C62" s="4">
        <v>2880</v>
      </c>
      <c r="D62" s="4">
        <v>2893</v>
      </c>
      <c r="E62" s="4">
        <v>2888</v>
      </c>
      <c r="F62" s="4">
        <v>2795</v>
      </c>
      <c r="G62" s="4">
        <v>2859</v>
      </c>
      <c r="H62" s="4">
        <v>2894</v>
      </c>
      <c r="I62" s="4">
        <v>2931</v>
      </c>
      <c r="J62" s="4">
        <v>2984</v>
      </c>
      <c r="K62" s="4">
        <v>3008</v>
      </c>
      <c r="L62" s="4">
        <v>3017</v>
      </c>
      <c r="M62" s="42">
        <v>3000</v>
      </c>
      <c r="N62" s="13">
        <f t="shared" si="1"/>
        <v>2919.1666666666665</v>
      </c>
    </row>
    <row r="63" spans="1:14" ht="12" customHeight="1" x14ac:dyDescent="0.2">
      <c r="A63" s="7" t="str">
        <f>'Pregnant Women Participating'!A63</f>
        <v>Citizen Potawatomi Nation, OK</v>
      </c>
      <c r="B63" s="13">
        <v>755</v>
      </c>
      <c r="C63" s="4">
        <v>736</v>
      </c>
      <c r="D63" s="4">
        <v>706</v>
      </c>
      <c r="E63" s="4">
        <v>720</v>
      </c>
      <c r="F63" s="4">
        <v>717</v>
      </c>
      <c r="G63" s="4">
        <v>720</v>
      </c>
      <c r="H63" s="4">
        <v>703</v>
      </c>
      <c r="I63" s="4">
        <v>702</v>
      </c>
      <c r="J63" s="4">
        <v>701</v>
      </c>
      <c r="K63" s="4">
        <v>705</v>
      </c>
      <c r="L63" s="4">
        <v>710</v>
      </c>
      <c r="M63" s="42">
        <v>713</v>
      </c>
      <c r="N63" s="13">
        <f t="shared" si="1"/>
        <v>715.66666666666663</v>
      </c>
    </row>
    <row r="64" spans="1:14" ht="12" customHeight="1" x14ac:dyDescent="0.2">
      <c r="A64" s="7" t="str">
        <f>'Pregnant Women Participating'!A64</f>
        <v>Inter-Tribal Council, OK</v>
      </c>
      <c r="B64" s="13">
        <v>325</v>
      </c>
      <c r="C64" s="4">
        <v>323</v>
      </c>
      <c r="D64" s="4">
        <v>331</v>
      </c>
      <c r="E64" s="4">
        <v>344</v>
      </c>
      <c r="F64" s="4">
        <v>325</v>
      </c>
      <c r="G64" s="4">
        <v>331</v>
      </c>
      <c r="H64" s="4">
        <v>349</v>
      </c>
      <c r="I64" s="4">
        <v>356</v>
      </c>
      <c r="J64" s="4">
        <v>363</v>
      </c>
      <c r="K64" s="4">
        <v>365</v>
      </c>
      <c r="L64" s="4">
        <v>365</v>
      </c>
      <c r="M64" s="42">
        <v>368</v>
      </c>
      <c r="N64" s="13">
        <f t="shared" si="1"/>
        <v>345.41666666666669</v>
      </c>
    </row>
    <row r="65" spans="1:14" ht="12" customHeight="1" x14ac:dyDescent="0.2">
      <c r="A65" s="7" t="str">
        <f>'Pregnant Women Participating'!A65</f>
        <v>Muscogee Creek Nation, OK</v>
      </c>
      <c r="B65" s="13">
        <v>1481</v>
      </c>
      <c r="C65" s="4">
        <v>1429</v>
      </c>
      <c r="D65" s="4">
        <v>1422</v>
      </c>
      <c r="E65" s="4">
        <v>1433</v>
      </c>
      <c r="F65" s="4">
        <v>1392</v>
      </c>
      <c r="G65" s="4">
        <v>1404</v>
      </c>
      <c r="H65" s="4">
        <v>1414</v>
      </c>
      <c r="I65" s="4">
        <v>1378</v>
      </c>
      <c r="J65" s="4">
        <v>1392</v>
      </c>
      <c r="K65" s="4">
        <v>1346</v>
      </c>
      <c r="L65" s="4">
        <v>1309</v>
      </c>
      <c r="M65" s="42">
        <v>1280</v>
      </c>
      <c r="N65" s="13">
        <f t="shared" si="1"/>
        <v>1390</v>
      </c>
    </row>
    <row r="66" spans="1:14" ht="12" customHeight="1" x14ac:dyDescent="0.2">
      <c r="A66" s="7" t="str">
        <f>'Pregnant Women Participating'!A66</f>
        <v>Osage Tribal Council, OK</v>
      </c>
      <c r="B66" s="13">
        <v>1999</v>
      </c>
      <c r="C66" s="4">
        <v>1961</v>
      </c>
      <c r="D66" s="4">
        <v>1911</v>
      </c>
      <c r="E66" s="4">
        <v>1945</v>
      </c>
      <c r="F66" s="4">
        <v>1901</v>
      </c>
      <c r="G66" s="4">
        <v>1899</v>
      </c>
      <c r="H66" s="4">
        <v>1870</v>
      </c>
      <c r="I66" s="4">
        <v>1835</v>
      </c>
      <c r="J66" s="4">
        <v>1824</v>
      </c>
      <c r="K66" s="4">
        <v>1778</v>
      </c>
      <c r="L66" s="4">
        <v>1736</v>
      </c>
      <c r="M66" s="42">
        <v>1728</v>
      </c>
      <c r="N66" s="13">
        <f t="shared" si="1"/>
        <v>1865.5833333333333</v>
      </c>
    </row>
    <row r="67" spans="1:14" ht="12" customHeight="1" x14ac:dyDescent="0.2">
      <c r="A67" s="7" t="str">
        <f>'Pregnant Women Participating'!A67</f>
        <v>Otoe-Missouria Tribe, OK</v>
      </c>
      <c r="B67" s="13">
        <v>197</v>
      </c>
      <c r="C67" s="4">
        <v>177</v>
      </c>
      <c r="D67" s="4">
        <v>175</v>
      </c>
      <c r="E67" s="4">
        <v>188</v>
      </c>
      <c r="F67" s="4">
        <v>178</v>
      </c>
      <c r="G67" s="4">
        <v>184</v>
      </c>
      <c r="H67" s="4">
        <v>189</v>
      </c>
      <c r="I67" s="4">
        <v>197</v>
      </c>
      <c r="J67" s="4">
        <v>193</v>
      </c>
      <c r="K67" s="4">
        <v>207</v>
      </c>
      <c r="L67" s="4">
        <v>214</v>
      </c>
      <c r="M67" s="42">
        <v>220</v>
      </c>
      <c r="N67" s="13">
        <f t="shared" si="1"/>
        <v>193.25</v>
      </c>
    </row>
    <row r="68" spans="1:14" ht="12" customHeight="1" x14ac:dyDescent="0.2">
      <c r="A68" s="7" t="str">
        <f>'Pregnant Women Participating'!A68</f>
        <v>Wichita, Caddo &amp; Delaware (WCD), OK</v>
      </c>
      <c r="B68" s="13">
        <v>2276</v>
      </c>
      <c r="C68" s="4">
        <v>2238</v>
      </c>
      <c r="D68" s="4">
        <v>2238</v>
      </c>
      <c r="E68" s="4">
        <v>2258</v>
      </c>
      <c r="F68" s="4">
        <v>2218</v>
      </c>
      <c r="G68" s="4">
        <v>2240</v>
      </c>
      <c r="H68" s="4">
        <v>2293</v>
      </c>
      <c r="I68" s="4">
        <v>2269</v>
      </c>
      <c r="J68" s="4">
        <v>2288</v>
      </c>
      <c r="K68" s="4">
        <v>2283</v>
      </c>
      <c r="L68" s="4">
        <v>2312</v>
      </c>
      <c r="M68" s="42">
        <v>2304</v>
      </c>
      <c r="N68" s="13">
        <f t="shared" si="1"/>
        <v>2268.0833333333335</v>
      </c>
    </row>
    <row r="69" spans="1:14" s="17" customFormat="1" ht="24.75" customHeight="1" x14ac:dyDescent="0.2">
      <c r="A69" s="14" t="str">
        <f>'Pregnant Women Participating'!A69</f>
        <v>Southwest Region</v>
      </c>
      <c r="B69" s="16">
        <v>680117</v>
      </c>
      <c r="C69" s="15">
        <v>674270</v>
      </c>
      <c r="D69" s="15">
        <v>669583</v>
      </c>
      <c r="E69" s="15">
        <v>670177</v>
      </c>
      <c r="F69" s="15">
        <v>671136</v>
      </c>
      <c r="G69" s="15">
        <v>675488</v>
      </c>
      <c r="H69" s="15">
        <v>679336</v>
      </c>
      <c r="I69" s="15">
        <v>681667</v>
      </c>
      <c r="J69" s="15">
        <v>684220</v>
      </c>
      <c r="K69" s="15">
        <v>688644</v>
      </c>
      <c r="L69" s="15">
        <v>693415</v>
      </c>
      <c r="M69" s="41">
        <v>698858</v>
      </c>
      <c r="N69" s="16">
        <f t="shared" si="1"/>
        <v>680575.91666666663</v>
      </c>
    </row>
    <row r="70" spans="1:14" ht="12" customHeight="1" x14ac:dyDescent="0.2">
      <c r="A70" s="7" t="str">
        <f>'Pregnant Women Participating'!A70</f>
        <v>Colorado</v>
      </c>
      <c r="B70" s="13">
        <v>54715</v>
      </c>
      <c r="C70" s="4">
        <v>54491</v>
      </c>
      <c r="D70" s="4">
        <v>54502</v>
      </c>
      <c r="E70" s="4">
        <v>54820</v>
      </c>
      <c r="F70" s="4">
        <v>54705</v>
      </c>
      <c r="G70" s="4">
        <v>55016</v>
      </c>
      <c r="H70" s="4">
        <v>55150</v>
      </c>
      <c r="I70" s="4">
        <v>55395</v>
      </c>
      <c r="J70" s="4">
        <v>55101</v>
      </c>
      <c r="K70" s="4">
        <v>55208</v>
      </c>
      <c r="L70" s="4">
        <v>55445</v>
      </c>
      <c r="M70" s="42">
        <v>55531</v>
      </c>
      <c r="N70" s="13">
        <f t="shared" si="1"/>
        <v>55006.583333333336</v>
      </c>
    </row>
    <row r="71" spans="1:14" ht="12" customHeight="1" x14ac:dyDescent="0.2">
      <c r="A71" s="7" t="str">
        <f>'Pregnant Women Participating'!A71</f>
        <v>Kansas</v>
      </c>
      <c r="B71" s="13">
        <v>27643</v>
      </c>
      <c r="C71" s="4">
        <v>27108</v>
      </c>
      <c r="D71" s="4">
        <v>27369</v>
      </c>
      <c r="E71" s="4">
        <v>27639</v>
      </c>
      <c r="F71" s="4">
        <v>27145</v>
      </c>
      <c r="G71" s="4">
        <v>27174</v>
      </c>
      <c r="H71" s="4">
        <v>27269</v>
      </c>
      <c r="I71" s="4">
        <v>27500</v>
      </c>
      <c r="J71" s="4">
        <v>27374</v>
      </c>
      <c r="K71" s="4">
        <v>27766</v>
      </c>
      <c r="L71" s="4">
        <v>27924</v>
      </c>
      <c r="M71" s="42">
        <v>27792</v>
      </c>
      <c r="N71" s="13">
        <f t="shared" si="1"/>
        <v>27475.25</v>
      </c>
    </row>
    <row r="72" spans="1:14" ht="12" customHeight="1" x14ac:dyDescent="0.2">
      <c r="A72" s="7" t="str">
        <f>'Pregnant Women Participating'!A72</f>
        <v>Missouri</v>
      </c>
      <c r="B72" s="13">
        <v>49200</v>
      </c>
      <c r="C72" s="4">
        <v>48567</v>
      </c>
      <c r="D72" s="4">
        <v>48278</v>
      </c>
      <c r="E72" s="4">
        <v>47957</v>
      </c>
      <c r="F72" s="4">
        <v>47776</v>
      </c>
      <c r="G72" s="4">
        <v>47726</v>
      </c>
      <c r="H72" s="4">
        <v>48219</v>
      </c>
      <c r="I72" s="4">
        <v>48387</v>
      </c>
      <c r="J72" s="4">
        <v>49161</v>
      </c>
      <c r="K72" s="4">
        <v>49759</v>
      </c>
      <c r="L72" s="4">
        <v>49806</v>
      </c>
      <c r="M72" s="42">
        <v>50184</v>
      </c>
      <c r="N72" s="13">
        <f t="shared" si="1"/>
        <v>48751.666666666664</v>
      </c>
    </row>
    <row r="73" spans="1:14" ht="12" customHeight="1" x14ac:dyDescent="0.2">
      <c r="A73" s="7" t="str">
        <f>'Pregnant Women Participating'!A73</f>
        <v>Montana</v>
      </c>
      <c r="B73" s="13">
        <v>7619</v>
      </c>
      <c r="C73" s="4">
        <v>7585</v>
      </c>
      <c r="D73" s="4">
        <v>7517</v>
      </c>
      <c r="E73" s="4">
        <v>7619</v>
      </c>
      <c r="F73" s="4">
        <v>7646</v>
      </c>
      <c r="G73" s="4">
        <v>7679</v>
      </c>
      <c r="H73" s="4">
        <v>7739</v>
      </c>
      <c r="I73" s="4">
        <v>7710</v>
      </c>
      <c r="J73" s="4">
        <v>7732</v>
      </c>
      <c r="K73" s="4">
        <v>7668</v>
      </c>
      <c r="L73" s="4">
        <v>7681</v>
      </c>
      <c r="M73" s="42">
        <v>7680</v>
      </c>
      <c r="N73" s="13">
        <f t="shared" si="1"/>
        <v>7656.25</v>
      </c>
    </row>
    <row r="74" spans="1:14" ht="12" customHeight="1" x14ac:dyDescent="0.2">
      <c r="A74" s="7" t="str">
        <f>'Pregnant Women Participating'!A74</f>
        <v>Nebraska</v>
      </c>
      <c r="B74" s="13">
        <v>20868</v>
      </c>
      <c r="C74" s="4">
        <v>20867</v>
      </c>
      <c r="D74" s="4">
        <v>20895</v>
      </c>
      <c r="E74" s="4">
        <v>20980</v>
      </c>
      <c r="F74" s="4">
        <v>20898</v>
      </c>
      <c r="G74" s="4">
        <v>20965</v>
      </c>
      <c r="H74" s="4">
        <v>21042</v>
      </c>
      <c r="I74" s="4">
        <v>21091</v>
      </c>
      <c r="J74" s="4">
        <v>21225</v>
      </c>
      <c r="K74" s="4">
        <v>21315</v>
      </c>
      <c r="L74" s="4">
        <v>21446</v>
      </c>
      <c r="M74" s="42">
        <v>21540</v>
      </c>
      <c r="N74" s="13">
        <f t="shared" si="1"/>
        <v>21094.333333333332</v>
      </c>
    </row>
    <row r="75" spans="1:14" ht="12" customHeight="1" x14ac:dyDescent="0.2">
      <c r="A75" s="7" t="str">
        <f>'Pregnant Women Participating'!A75</f>
        <v>North Dakota</v>
      </c>
      <c r="B75" s="13">
        <v>5847</v>
      </c>
      <c r="C75" s="4">
        <v>5855</v>
      </c>
      <c r="D75" s="4">
        <v>5840</v>
      </c>
      <c r="E75" s="4">
        <v>5869</v>
      </c>
      <c r="F75" s="4">
        <v>5853</v>
      </c>
      <c r="G75" s="4">
        <v>5844</v>
      </c>
      <c r="H75" s="4">
        <v>5879</v>
      </c>
      <c r="I75" s="4">
        <v>5892</v>
      </c>
      <c r="J75" s="4">
        <v>5807</v>
      </c>
      <c r="K75" s="4">
        <v>5937</v>
      </c>
      <c r="L75" s="4">
        <v>6023</v>
      </c>
      <c r="M75" s="42">
        <v>6029</v>
      </c>
      <c r="N75" s="13">
        <f t="shared" si="1"/>
        <v>5889.583333333333</v>
      </c>
    </row>
    <row r="76" spans="1:14" ht="12" customHeight="1" x14ac:dyDescent="0.2">
      <c r="A76" s="7" t="str">
        <f>'Pregnant Women Participating'!A76</f>
        <v>South Dakota</v>
      </c>
      <c r="B76" s="13">
        <v>7700</v>
      </c>
      <c r="C76" s="4">
        <v>7704</v>
      </c>
      <c r="D76" s="4">
        <v>7757</v>
      </c>
      <c r="E76" s="4">
        <v>7823</v>
      </c>
      <c r="F76" s="4">
        <v>7774</v>
      </c>
      <c r="G76" s="4">
        <v>7806</v>
      </c>
      <c r="H76" s="4">
        <v>7760</v>
      </c>
      <c r="I76" s="4">
        <v>7796</v>
      </c>
      <c r="J76" s="4">
        <v>7796</v>
      </c>
      <c r="K76" s="4">
        <v>7801</v>
      </c>
      <c r="L76" s="4">
        <v>7751</v>
      </c>
      <c r="M76" s="42">
        <v>7791</v>
      </c>
      <c r="N76" s="13">
        <f t="shared" si="1"/>
        <v>7771.583333333333</v>
      </c>
    </row>
    <row r="77" spans="1:14" ht="12" customHeight="1" x14ac:dyDescent="0.2">
      <c r="A77" s="7" t="str">
        <f>'Pregnant Women Participating'!A77</f>
        <v>Wyoming</v>
      </c>
      <c r="B77" s="13">
        <v>4327</v>
      </c>
      <c r="C77" s="4">
        <v>4357</v>
      </c>
      <c r="D77" s="4">
        <v>4299</v>
      </c>
      <c r="E77" s="4">
        <v>4299</v>
      </c>
      <c r="F77" s="4">
        <v>4323</v>
      </c>
      <c r="G77" s="4">
        <v>4332</v>
      </c>
      <c r="H77" s="4">
        <v>4317</v>
      </c>
      <c r="I77" s="4">
        <v>4351</v>
      </c>
      <c r="J77" s="4">
        <v>4404</v>
      </c>
      <c r="K77" s="4">
        <v>4414</v>
      </c>
      <c r="L77" s="4">
        <v>4428</v>
      </c>
      <c r="M77" s="42">
        <v>4396</v>
      </c>
      <c r="N77" s="13">
        <f t="shared" si="1"/>
        <v>4353.916666666667</v>
      </c>
    </row>
    <row r="78" spans="1:14" ht="12" customHeight="1" x14ac:dyDescent="0.2">
      <c r="A78" s="7" t="str">
        <f>'Pregnant Women Participating'!A78</f>
        <v>Ute Mountain Ute Tribe, CO</v>
      </c>
      <c r="B78" s="13">
        <v>81</v>
      </c>
      <c r="C78" s="4">
        <v>83</v>
      </c>
      <c r="D78" s="4">
        <v>91</v>
      </c>
      <c r="E78" s="4">
        <v>93</v>
      </c>
      <c r="F78" s="4">
        <v>91</v>
      </c>
      <c r="G78" s="4">
        <v>89</v>
      </c>
      <c r="H78" s="4">
        <v>88</v>
      </c>
      <c r="I78" s="4">
        <v>86</v>
      </c>
      <c r="J78" s="4">
        <v>85</v>
      </c>
      <c r="K78" s="4">
        <v>87</v>
      </c>
      <c r="L78" s="4">
        <v>82</v>
      </c>
      <c r="M78" s="42">
        <v>86</v>
      </c>
      <c r="N78" s="13">
        <f t="shared" si="1"/>
        <v>86.833333333333329</v>
      </c>
    </row>
    <row r="79" spans="1:14" ht="12" customHeight="1" x14ac:dyDescent="0.2">
      <c r="A79" s="7" t="str">
        <f>'Pregnant Women Participating'!A79</f>
        <v>Omaha Sioux, NE</v>
      </c>
      <c r="B79" s="13">
        <v>152</v>
      </c>
      <c r="C79" s="4">
        <v>149</v>
      </c>
      <c r="D79" s="4">
        <v>143</v>
      </c>
      <c r="E79" s="4">
        <v>144</v>
      </c>
      <c r="F79" s="4">
        <v>141</v>
      </c>
      <c r="G79" s="4">
        <v>138</v>
      </c>
      <c r="H79" s="4">
        <v>137</v>
      </c>
      <c r="I79" s="4">
        <v>128</v>
      </c>
      <c r="J79" s="4">
        <v>123</v>
      </c>
      <c r="K79" s="4">
        <v>130</v>
      </c>
      <c r="L79" s="4">
        <v>122</v>
      </c>
      <c r="M79" s="42">
        <v>112</v>
      </c>
      <c r="N79" s="13">
        <f t="shared" si="1"/>
        <v>134.91666666666666</v>
      </c>
    </row>
    <row r="80" spans="1:14" ht="12" customHeight="1" x14ac:dyDescent="0.2">
      <c r="A80" s="7" t="str">
        <f>'Pregnant Women Participating'!A80</f>
        <v>Santee Sioux, NE</v>
      </c>
      <c r="B80" s="13">
        <v>32</v>
      </c>
      <c r="C80" s="4">
        <v>32</v>
      </c>
      <c r="D80" s="4">
        <v>27</v>
      </c>
      <c r="E80" s="4">
        <v>34</v>
      </c>
      <c r="F80" s="4">
        <v>32</v>
      </c>
      <c r="G80" s="4">
        <v>38</v>
      </c>
      <c r="H80" s="4">
        <v>35</v>
      </c>
      <c r="I80" s="4">
        <v>35</v>
      </c>
      <c r="J80" s="4">
        <v>29</v>
      </c>
      <c r="K80" s="4">
        <v>31</v>
      </c>
      <c r="L80" s="4">
        <v>31</v>
      </c>
      <c r="M80" s="42">
        <v>33</v>
      </c>
      <c r="N80" s="13">
        <f t="shared" si="1"/>
        <v>32.416666666666664</v>
      </c>
    </row>
    <row r="81" spans="1:14" ht="12" customHeight="1" x14ac:dyDescent="0.2">
      <c r="A81" s="7" t="str">
        <f>'Pregnant Women Participating'!A81</f>
        <v>Winnebago Tribe, NE</v>
      </c>
      <c r="B81" s="13">
        <v>62</v>
      </c>
      <c r="C81" s="4">
        <v>60</v>
      </c>
      <c r="D81" s="4">
        <v>56</v>
      </c>
      <c r="E81" s="4">
        <v>55</v>
      </c>
      <c r="F81" s="4">
        <v>57</v>
      </c>
      <c r="G81" s="4">
        <v>55</v>
      </c>
      <c r="H81" s="4">
        <v>55</v>
      </c>
      <c r="I81" s="4">
        <v>69</v>
      </c>
      <c r="J81" s="4">
        <v>70</v>
      </c>
      <c r="K81" s="4">
        <v>65</v>
      </c>
      <c r="L81" s="4">
        <v>75</v>
      </c>
      <c r="M81" s="42">
        <v>76</v>
      </c>
      <c r="N81" s="13">
        <f t="shared" si="1"/>
        <v>62.916666666666664</v>
      </c>
    </row>
    <row r="82" spans="1:14" ht="12" customHeight="1" x14ac:dyDescent="0.2">
      <c r="A82" s="7" t="str">
        <f>'Pregnant Women Participating'!A82</f>
        <v>Standing Rock Sioux Tribe, ND</v>
      </c>
      <c r="B82" s="13">
        <v>130</v>
      </c>
      <c r="C82" s="4">
        <v>125</v>
      </c>
      <c r="D82" s="4">
        <v>128</v>
      </c>
      <c r="E82" s="4">
        <v>130</v>
      </c>
      <c r="F82" s="4">
        <v>127</v>
      </c>
      <c r="G82" s="4">
        <v>128</v>
      </c>
      <c r="H82" s="4">
        <v>134</v>
      </c>
      <c r="I82" s="4">
        <v>128</v>
      </c>
      <c r="J82" s="4">
        <v>117</v>
      </c>
      <c r="K82" s="4">
        <v>109</v>
      </c>
      <c r="L82" s="4">
        <v>139</v>
      </c>
      <c r="M82" s="42">
        <v>142</v>
      </c>
      <c r="N82" s="13">
        <f t="shared" si="1"/>
        <v>128.08333333333334</v>
      </c>
    </row>
    <row r="83" spans="1:14" ht="12" customHeight="1" x14ac:dyDescent="0.2">
      <c r="A83" s="7" t="str">
        <f>'Pregnant Women Participating'!A83</f>
        <v>Three Affiliated Tribes, ND</v>
      </c>
      <c r="B83" s="13">
        <v>42</v>
      </c>
      <c r="C83" s="4">
        <v>40</v>
      </c>
      <c r="D83" s="4">
        <v>35</v>
      </c>
      <c r="E83" s="4">
        <v>33</v>
      </c>
      <c r="F83" s="4">
        <v>38</v>
      </c>
      <c r="G83" s="4">
        <v>40</v>
      </c>
      <c r="H83" s="4">
        <v>44</v>
      </c>
      <c r="I83" s="4">
        <v>45</v>
      </c>
      <c r="J83" s="4">
        <v>43</v>
      </c>
      <c r="K83" s="4">
        <v>48</v>
      </c>
      <c r="L83" s="4">
        <v>49</v>
      </c>
      <c r="M83" s="42">
        <v>44</v>
      </c>
      <c r="N83" s="13">
        <f t="shared" si="1"/>
        <v>41.75</v>
      </c>
    </row>
    <row r="84" spans="1:14" ht="12" customHeight="1" x14ac:dyDescent="0.2">
      <c r="A84" s="7" t="str">
        <f>'Pregnant Women Participating'!A84</f>
        <v>Cheyenne River Sioux, SD</v>
      </c>
      <c r="B84" s="13">
        <v>302</v>
      </c>
      <c r="C84" s="4">
        <v>283</v>
      </c>
      <c r="D84" s="4">
        <v>263</v>
      </c>
      <c r="E84" s="4">
        <v>270</v>
      </c>
      <c r="F84" s="4">
        <v>263</v>
      </c>
      <c r="G84" s="4">
        <v>270</v>
      </c>
      <c r="H84" s="4">
        <v>271</v>
      </c>
      <c r="I84" s="4">
        <v>256</v>
      </c>
      <c r="J84" s="4">
        <v>265</v>
      </c>
      <c r="K84" s="4">
        <v>264</v>
      </c>
      <c r="L84" s="4">
        <v>253</v>
      </c>
      <c r="M84" s="42">
        <v>255</v>
      </c>
      <c r="N84" s="13">
        <f t="shared" si="1"/>
        <v>267.91666666666669</v>
      </c>
    </row>
    <row r="85" spans="1:14" ht="12" customHeight="1" x14ac:dyDescent="0.2">
      <c r="A85" s="7" t="str">
        <f>'Pregnant Women Participating'!A85</f>
        <v>Rosebud Sioux, SD</v>
      </c>
      <c r="B85" s="13">
        <v>510</v>
      </c>
      <c r="C85" s="4">
        <v>484</v>
      </c>
      <c r="D85" s="4">
        <v>471</v>
      </c>
      <c r="E85" s="4">
        <v>452</v>
      </c>
      <c r="F85" s="4">
        <v>438</v>
      </c>
      <c r="G85" s="4">
        <v>450</v>
      </c>
      <c r="H85" s="4">
        <v>460</v>
      </c>
      <c r="I85" s="4">
        <v>460</v>
      </c>
      <c r="J85" s="4">
        <v>468</v>
      </c>
      <c r="K85" s="4">
        <v>487</v>
      </c>
      <c r="L85" s="4">
        <v>478</v>
      </c>
      <c r="M85" s="42">
        <v>482</v>
      </c>
      <c r="N85" s="13">
        <f t="shared" si="1"/>
        <v>470</v>
      </c>
    </row>
    <row r="86" spans="1:14" ht="12" customHeight="1" x14ac:dyDescent="0.2">
      <c r="A86" s="7" t="str">
        <f>'Pregnant Women Participating'!A86</f>
        <v>Northern Arapahoe, WY</v>
      </c>
      <c r="B86" s="13">
        <v>105</v>
      </c>
      <c r="C86" s="4">
        <v>103</v>
      </c>
      <c r="D86" s="4">
        <v>101</v>
      </c>
      <c r="E86" s="4">
        <v>102</v>
      </c>
      <c r="F86" s="4">
        <v>104</v>
      </c>
      <c r="G86" s="4">
        <v>102</v>
      </c>
      <c r="H86" s="4">
        <v>114</v>
      </c>
      <c r="I86" s="4">
        <v>110</v>
      </c>
      <c r="J86" s="4">
        <v>114</v>
      </c>
      <c r="K86" s="4">
        <v>112</v>
      </c>
      <c r="L86" s="4">
        <v>110</v>
      </c>
      <c r="M86" s="42">
        <v>113</v>
      </c>
      <c r="N86" s="13">
        <f t="shared" si="1"/>
        <v>107.5</v>
      </c>
    </row>
    <row r="87" spans="1:14" ht="12" customHeight="1" x14ac:dyDescent="0.2">
      <c r="A87" s="7" t="str">
        <f>'Pregnant Women Participating'!A87</f>
        <v>Shoshone Tribe, WY</v>
      </c>
      <c r="B87" s="13">
        <v>43</v>
      </c>
      <c r="C87" s="4">
        <v>36</v>
      </c>
      <c r="D87" s="4">
        <v>38</v>
      </c>
      <c r="E87" s="4">
        <v>45</v>
      </c>
      <c r="F87" s="4">
        <v>46</v>
      </c>
      <c r="G87" s="4">
        <v>42</v>
      </c>
      <c r="H87" s="4">
        <v>41</v>
      </c>
      <c r="I87" s="4">
        <v>39</v>
      </c>
      <c r="J87" s="4">
        <v>41</v>
      </c>
      <c r="K87" s="4">
        <v>43</v>
      </c>
      <c r="L87" s="4">
        <v>39</v>
      </c>
      <c r="M87" s="42">
        <v>45</v>
      </c>
      <c r="N87" s="13">
        <f t="shared" si="1"/>
        <v>41.5</v>
      </c>
    </row>
    <row r="88" spans="1:14" s="17" customFormat="1" ht="24.75" customHeight="1" x14ac:dyDescent="0.2">
      <c r="A88" s="14" t="str">
        <f>'Pregnant Women Participating'!A88</f>
        <v>Mountain Plains</v>
      </c>
      <c r="B88" s="16">
        <v>179378</v>
      </c>
      <c r="C88" s="15">
        <v>177929</v>
      </c>
      <c r="D88" s="15">
        <v>177810</v>
      </c>
      <c r="E88" s="15">
        <v>178364</v>
      </c>
      <c r="F88" s="15">
        <v>177457</v>
      </c>
      <c r="G88" s="15">
        <v>177894</v>
      </c>
      <c r="H88" s="15">
        <v>178754</v>
      </c>
      <c r="I88" s="15">
        <v>179478</v>
      </c>
      <c r="J88" s="15">
        <v>179955</v>
      </c>
      <c r="K88" s="15">
        <v>181244</v>
      </c>
      <c r="L88" s="15">
        <v>181882</v>
      </c>
      <c r="M88" s="41">
        <v>182331</v>
      </c>
      <c r="N88" s="16">
        <f t="shared" si="1"/>
        <v>179373</v>
      </c>
    </row>
    <row r="89" spans="1:14" ht="12" customHeight="1" x14ac:dyDescent="0.2">
      <c r="A89" s="8" t="str">
        <f>'Pregnant Women Participating'!A89</f>
        <v>Alaska</v>
      </c>
      <c r="B89" s="13">
        <v>8332</v>
      </c>
      <c r="C89" s="4">
        <v>8256</v>
      </c>
      <c r="D89" s="4">
        <v>8149</v>
      </c>
      <c r="E89" s="4">
        <v>8217</v>
      </c>
      <c r="F89" s="4">
        <v>8265</v>
      </c>
      <c r="G89" s="4">
        <v>8254</v>
      </c>
      <c r="H89" s="4">
        <v>8200</v>
      </c>
      <c r="I89" s="4">
        <v>8150</v>
      </c>
      <c r="J89" s="4">
        <v>8048</v>
      </c>
      <c r="K89" s="4">
        <v>7947</v>
      </c>
      <c r="L89" s="4">
        <v>7913</v>
      </c>
      <c r="M89" s="42">
        <v>7797</v>
      </c>
      <c r="N89" s="13">
        <f t="shared" si="1"/>
        <v>8127.333333333333</v>
      </c>
    </row>
    <row r="90" spans="1:14" ht="12" customHeight="1" x14ac:dyDescent="0.2">
      <c r="A90" s="8" t="str">
        <f>'Pregnant Women Participating'!A90</f>
        <v>American Samoa</v>
      </c>
      <c r="B90" s="13">
        <v>2513</v>
      </c>
      <c r="C90" s="4">
        <v>2466</v>
      </c>
      <c r="D90" s="4">
        <v>2480</v>
      </c>
      <c r="E90" s="4">
        <v>2488</v>
      </c>
      <c r="F90" s="4">
        <v>2482</v>
      </c>
      <c r="G90" s="4">
        <v>2464</v>
      </c>
      <c r="H90" s="4">
        <v>2470</v>
      </c>
      <c r="I90" s="4">
        <v>2432</v>
      </c>
      <c r="J90" s="4">
        <v>2429</v>
      </c>
      <c r="K90" s="4">
        <v>2460</v>
      </c>
      <c r="L90" s="4">
        <v>2455</v>
      </c>
      <c r="M90" s="42">
        <v>2460</v>
      </c>
      <c r="N90" s="13">
        <f t="shared" si="1"/>
        <v>2466.5833333333335</v>
      </c>
    </row>
    <row r="91" spans="1:14" ht="12" customHeight="1" x14ac:dyDescent="0.2">
      <c r="A91" s="8" t="str">
        <f>'Pregnant Women Participating'!A91</f>
        <v>California</v>
      </c>
      <c r="B91" s="13">
        <v>614930</v>
      </c>
      <c r="C91" s="4">
        <v>612746</v>
      </c>
      <c r="D91" s="4">
        <v>612263</v>
      </c>
      <c r="E91" s="4">
        <v>613793</v>
      </c>
      <c r="F91" s="4">
        <v>612940</v>
      </c>
      <c r="G91" s="4">
        <v>616601</v>
      </c>
      <c r="H91" s="4">
        <v>617237</v>
      </c>
      <c r="I91" s="4">
        <v>616932</v>
      </c>
      <c r="J91" s="4">
        <v>616823</v>
      </c>
      <c r="K91" s="4">
        <v>618893</v>
      </c>
      <c r="L91" s="4">
        <v>618707</v>
      </c>
      <c r="M91" s="42">
        <v>618393</v>
      </c>
      <c r="N91" s="13">
        <f t="shared" si="1"/>
        <v>615854.83333333337</v>
      </c>
    </row>
    <row r="92" spans="1:14" ht="12" customHeight="1" x14ac:dyDescent="0.2">
      <c r="A92" s="8" t="str">
        <f>'Pregnant Women Participating'!A92</f>
        <v>Guam</v>
      </c>
      <c r="B92" s="13">
        <v>3933</v>
      </c>
      <c r="C92" s="4">
        <v>3909</v>
      </c>
      <c r="D92" s="4">
        <v>3845</v>
      </c>
      <c r="E92" s="4">
        <v>3860</v>
      </c>
      <c r="F92" s="4">
        <v>3864</v>
      </c>
      <c r="G92" s="4">
        <v>3864</v>
      </c>
      <c r="H92" s="4">
        <v>3863</v>
      </c>
      <c r="I92" s="4">
        <v>3861</v>
      </c>
      <c r="J92" s="4">
        <v>3808</v>
      </c>
      <c r="K92" s="4">
        <v>3758</v>
      </c>
      <c r="L92" s="4">
        <v>3676</v>
      </c>
      <c r="M92" s="42">
        <v>3708</v>
      </c>
      <c r="N92" s="13">
        <f t="shared" si="1"/>
        <v>3829.0833333333335</v>
      </c>
    </row>
    <row r="93" spans="1:14" ht="12" customHeight="1" x14ac:dyDescent="0.2">
      <c r="A93" s="8" t="str">
        <f>'Pregnant Women Participating'!A93</f>
        <v>Hawaii</v>
      </c>
      <c r="B93" s="13">
        <v>14758</v>
      </c>
      <c r="C93" s="4">
        <v>14539</v>
      </c>
      <c r="D93" s="4">
        <v>14383</v>
      </c>
      <c r="E93" s="4">
        <v>14538</v>
      </c>
      <c r="F93" s="4">
        <v>14498</v>
      </c>
      <c r="G93" s="4">
        <v>14537</v>
      </c>
      <c r="H93" s="4">
        <v>14594</v>
      </c>
      <c r="I93" s="4">
        <v>14652</v>
      </c>
      <c r="J93" s="4">
        <v>14515</v>
      </c>
      <c r="K93" s="4">
        <v>14859</v>
      </c>
      <c r="L93" s="4">
        <v>14808</v>
      </c>
      <c r="M93" s="42">
        <v>15022</v>
      </c>
      <c r="N93" s="13">
        <f t="shared" si="1"/>
        <v>14641.916666666666</v>
      </c>
    </row>
    <row r="94" spans="1:14" ht="12" customHeight="1" x14ac:dyDescent="0.2">
      <c r="A94" s="8" t="str">
        <f>'Pregnant Women Participating'!A94</f>
        <v>Idaho</v>
      </c>
      <c r="B94" s="13">
        <v>18176</v>
      </c>
      <c r="C94" s="4">
        <v>18134</v>
      </c>
      <c r="D94" s="4">
        <v>18153</v>
      </c>
      <c r="E94" s="4">
        <v>18086</v>
      </c>
      <c r="F94" s="4">
        <v>18205</v>
      </c>
      <c r="G94" s="4">
        <v>18380</v>
      </c>
      <c r="H94" s="4">
        <v>18384</v>
      </c>
      <c r="I94" s="4">
        <v>18388</v>
      </c>
      <c r="J94" s="4">
        <v>18309</v>
      </c>
      <c r="K94" s="4">
        <v>18541</v>
      </c>
      <c r="L94" s="4">
        <v>18638</v>
      </c>
      <c r="M94" s="42">
        <v>18589</v>
      </c>
      <c r="N94" s="13">
        <f t="shared" si="1"/>
        <v>18331.916666666668</v>
      </c>
    </row>
    <row r="95" spans="1:14" ht="12" customHeight="1" x14ac:dyDescent="0.2">
      <c r="A95" s="8" t="str">
        <f>'Pregnant Women Participating'!A95</f>
        <v>Nevada</v>
      </c>
      <c r="B95" s="13">
        <v>30853</v>
      </c>
      <c r="C95" s="4">
        <v>30741</v>
      </c>
      <c r="D95" s="4">
        <v>30667</v>
      </c>
      <c r="E95" s="4">
        <v>30849</v>
      </c>
      <c r="F95" s="4">
        <v>30679</v>
      </c>
      <c r="G95" s="4">
        <v>30786</v>
      </c>
      <c r="H95" s="4">
        <v>31002</v>
      </c>
      <c r="I95" s="4">
        <v>31152</v>
      </c>
      <c r="J95" s="4">
        <v>31146</v>
      </c>
      <c r="K95" s="4">
        <v>31448</v>
      </c>
      <c r="L95" s="4">
        <v>31677</v>
      </c>
      <c r="M95" s="42">
        <v>31838</v>
      </c>
      <c r="N95" s="13">
        <f t="shared" si="1"/>
        <v>31069.833333333332</v>
      </c>
    </row>
    <row r="96" spans="1:14" ht="12" customHeight="1" x14ac:dyDescent="0.2">
      <c r="A96" s="8" t="str">
        <f>'Pregnant Women Participating'!A96</f>
        <v>Oregon</v>
      </c>
      <c r="B96" s="13">
        <v>47096</v>
      </c>
      <c r="C96" s="4">
        <v>46918</v>
      </c>
      <c r="D96" s="4">
        <v>46962</v>
      </c>
      <c r="E96" s="4">
        <v>47342</v>
      </c>
      <c r="F96" s="4">
        <v>47171</v>
      </c>
      <c r="G96" s="4">
        <v>47323</v>
      </c>
      <c r="H96" s="4">
        <v>47340</v>
      </c>
      <c r="I96" s="4">
        <v>47419</v>
      </c>
      <c r="J96" s="4">
        <v>47744</v>
      </c>
      <c r="K96" s="4">
        <v>48191</v>
      </c>
      <c r="L96" s="4">
        <v>48319</v>
      </c>
      <c r="M96" s="42">
        <v>48853</v>
      </c>
      <c r="N96" s="13">
        <f t="shared" si="1"/>
        <v>47556.5</v>
      </c>
    </row>
    <row r="97" spans="1:14" ht="12" customHeight="1" x14ac:dyDescent="0.2">
      <c r="A97" s="8" t="str">
        <f>'Pregnant Women Participating'!A97</f>
        <v>Washington</v>
      </c>
      <c r="B97" s="13">
        <v>81987</v>
      </c>
      <c r="C97" s="4">
        <v>81642</v>
      </c>
      <c r="D97" s="4">
        <v>81872</v>
      </c>
      <c r="E97" s="4">
        <v>83131</v>
      </c>
      <c r="F97" s="4">
        <v>83201</v>
      </c>
      <c r="G97" s="4">
        <v>84343</v>
      </c>
      <c r="H97" s="4">
        <v>84776</v>
      </c>
      <c r="I97" s="4">
        <v>85135</v>
      </c>
      <c r="J97" s="4">
        <v>84836</v>
      </c>
      <c r="K97" s="4">
        <v>85112</v>
      </c>
      <c r="L97" s="4">
        <v>84982</v>
      </c>
      <c r="M97" s="42">
        <v>85286</v>
      </c>
      <c r="N97" s="13">
        <f t="shared" si="1"/>
        <v>83858.583333333328</v>
      </c>
    </row>
    <row r="98" spans="1:14" ht="12" customHeight="1" x14ac:dyDescent="0.2">
      <c r="A98" s="8" t="str">
        <f>'Pregnant Women Participating'!A98</f>
        <v>Northern Marianas</v>
      </c>
      <c r="B98" s="13">
        <v>1671</v>
      </c>
      <c r="C98" s="4">
        <v>1642</v>
      </c>
      <c r="D98" s="4">
        <v>1630</v>
      </c>
      <c r="E98" s="4">
        <v>1631</v>
      </c>
      <c r="F98" s="4">
        <v>1625</v>
      </c>
      <c r="G98" s="4">
        <v>1632</v>
      </c>
      <c r="H98" s="4">
        <v>1605</v>
      </c>
      <c r="I98" s="4">
        <v>1590</v>
      </c>
      <c r="J98" s="4">
        <v>1522</v>
      </c>
      <c r="K98" s="4">
        <v>1519</v>
      </c>
      <c r="L98" s="4">
        <v>1500</v>
      </c>
      <c r="M98" s="42">
        <v>1508</v>
      </c>
      <c r="N98" s="13">
        <f t="shared" si="1"/>
        <v>1589.5833333333333</v>
      </c>
    </row>
    <row r="99" spans="1:14" ht="12" customHeight="1" x14ac:dyDescent="0.2">
      <c r="A99" s="8" t="str">
        <f>'Pregnant Women Participating'!A99</f>
        <v>Inter-Tribal Council, NV</v>
      </c>
      <c r="B99" s="13">
        <v>265</v>
      </c>
      <c r="C99" s="4">
        <v>253</v>
      </c>
      <c r="D99" s="4">
        <v>246</v>
      </c>
      <c r="E99" s="4">
        <v>243</v>
      </c>
      <c r="F99" s="4">
        <v>245</v>
      </c>
      <c r="G99" s="4">
        <v>239</v>
      </c>
      <c r="H99" s="4">
        <v>255</v>
      </c>
      <c r="I99" s="4">
        <v>267</v>
      </c>
      <c r="J99" s="4">
        <v>249</v>
      </c>
      <c r="K99" s="4">
        <v>246</v>
      </c>
      <c r="L99" s="4">
        <v>258</v>
      </c>
      <c r="M99" s="42">
        <v>244</v>
      </c>
      <c r="N99" s="13">
        <f t="shared" si="1"/>
        <v>250.83333333333334</v>
      </c>
    </row>
    <row r="100" spans="1:14" s="17" customFormat="1" ht="24.75" customHeight="1" x14ac:dyDescent="0.2">
      <c r="A100" s="14" t="str">
        <f>'Pregnant Women Participating'!A100</f>
        <v>Western Region</v>
      </c>
      <c r="B100" s="16">
        <v>824514</v>
      </c>
      <c r="C100" s="15">
        <v>821246</v>
      </c>
      <c r="D100" s="15">
        <v>820650</v>
      </c>
      <c r="E100" s="15">
        <v>824178</v>
      </c>
      <c r="F100" s="15">
        <v>823175</v>
      </c>
      <c r="G100" s="15">
        <v>828423</v>
      </c>
      <c r="H100" s="15">
        <v>829726</v>
      </c>
      <c r="I100" s="15">
        <v>829978</v>
      </c>
      <c r="J100" s="15">
        <v>829429</v>
      </c>
      <c r="K100" s="15">
        <v>832974</v>
      </c>
      <c r="L100" s="15">
        <v>832933</v>
      </c>
      <c r="M100" s="41">
        <v>833698</v>
      </c>
      <c r="N100" s="16">
        <f t="shared" si="1"/>
        <v>827577</v>
      </c>
    </row>
    <row r="101" spans="1:14" s="31" customFormat="1" ht="16.5" customHeight="1" thickBot="1" x14ac:dyDescent="0.25">
      <c r="A101" s="28" t="str">
        <f>'Pregnant Women Participating'!A101</f>
        <v>TOTAL</v>
      </c>
      <c r="B101" s="29">
        <v>3821642</v>
      </c>
      <c r="C101" s="30">
        <v>3798132</v>
      </c>
      <c r="D101" s="30">
        <v>3783609</v>
      </c>
      <c r="E101" s="30">
        <v>3796977</v>
      </c>
      <c r="F101" s="30">
        <v>3792406</v>
      </c>
      <c r="G101" s="30">
        <v>3825049</v>
      </c>
      <c r="H101" s="30">
        <v>3840395</v>
      </c>
      <c r="I101" s="30">
        <v>3855343</v>
      </c>
      <c r="J101" s="30">
        <v>3859324</v>
      </c>
      <c r="K101" s="30">
        <v>3882522</v>
      </c>
      <c r="L101" s="30">
        <v>3892619</v>
      </c>
      <c r="M101" s="44">
        <v>3904910</v>
      </c>
      <c r="N101" s="29">
        <f t="shared" si="1"/>
        <v>3837744</v>
      </c>
    </row>
    <row r="102" spans="1:14" ht="12.75" customHeight="1" thickTop="1" x14ac:dyDescent="0.2">
      <c r="A102" s="9"/>
    </row>
    <row r="103" spans="1:14" x14ac:dyDescent="0.2">
      <c r="A103" s="9"/>
    </row>
    <row r="104" spans="1:14" customFormat="1" ht="12.75" x14ac:dyDescent="0.2">
      <c r="A104" s="10" t="s">
        <v>1</v>
      </c>
    </row>
  </sheetData>
  <phoneticPr fontId="1" type="noConversion"/>
  <pageMargins left="0.5" right="0.5" top="0.5" bottom="0.5" header="0.5" footer="0.3"/>
  <pageSetup scale="91" fitToHeight="0" orientation="landscape" r:id="rId1"/>
  <headerFooter alignWithMargins="0">
    <oddFooter>&amp;L&amp;6Source: National Data Bank, USDA/Food and Nutrition Service&amp;C&amp;6Page &amp;P of &amp;N&amp;R&amp;6Printed on: &amp;D &amp;T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pageSetUpPr fitToPage="1"/>
  </sheetPr>
  <dimension ref="A1:N104"/>
  <sheetViews>
    <sheetView showGridLines="0" workbookViewId="0"/>
  </sheetViews>
  <sheetFormatPr defaultColWidth="9.140625" defaultRowHeight="12" x14ac:dyDescent="0.2"/>
  <cols>
    <col min="1" max="1" width="34.7109375" style="3" customWidth="1"/>
    <col min="2" max="13" width="11.7109375" style="3" customWidth="1"/>
    <col min="14" max="14" width="13.7109375" style="3" customWidth="1"/>
    <col min="15" max="16384" width="9.140625" style="3"/>
  </cols>
  <sheetData>
    <row r="1" spans="1:14" ht="12" customHeight="1" x14ac:dyDescent="0.2">
      <c r="A1" s="10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2" customHeight="1" x14ac:dyDescent="0.2">
      <c r="A2" s="10" t="str">
        <f>'Pregnant Women Participating'!A2</f>
        <v>FISCAL YEAR 2025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12" customHeight="1" x14ac:dyDescent="0.2">
      <c r="A3" s="1" t="str">
        <f>'Pregnant Women Participating'!A3</f>
        <v>Data as of October 09, 2026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ht="12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 ht="24" customHeight="1" x14ac:dyDescent="0.2">
      <c r="A5" s="6" t="s">
        <v>0</v>
      </c>
      <c r="B5" s="18">
        <f>DATE(RIGHT(A2,4)-1,10,1)</f>
        <v>45566</v>
      </c>
      <c r="C5" s="19">
        <f>DATE(RIGHT(A2,4)-1,11,1)</f>
        <v>45597</v>
      </c>
      <c r="D5" s="19">
        <f>DATE(RIGHT(A2,4)-1,12,1)</f>
        <v>45627</v>
      </c>
      <c r="E5" s="19">
        <f>DATE(RIGHT(A2,4),1,1)</f>
        <v>45658</v>
      </c>
      <c r="F5" s="19">
        <f>DATE(RIGHT(A2,4),2,1)</f>
        <v>45689</v>
      </c>
      <c r="G5" s="19">
        <f>DATE(RIGHT(A2,4),3,1)</f>
        <v>45717</v>
      </c>
      <c r="H5" s="19">
        <f>DATE(RIGHT(A2,4),4,1)</f>
        <v>45748</v>
      </c>
      <c r="I5" s="19">
        <f>DATE(RIGHT(A2,4),5,1)</f>
        <v>45778</v>
      </c>
      <c r="J5" s="19">
        <f>DATE(RIGHT(A2,4),6,1)</f>
        <v>45809</v>
      </c>
      <c r="K5" s="19">
        <f>DATE(RIGHT(A2,4),7,1)</f>
        <v>45839</v>
      </c>
      <c r="L5" s="19">
        <f>DATE(RIGHT(A2,4),8,1)</f>
        <v>45870</v>
      </c>
      <c r="M5" s="19">
        <f>DATE(RIGHT(A2,4),9,1)</f>
        <v>45901</v>
      </c>
      <c r="N5" s="12" t="s">
        <v>12</v>
      </c>
    </row>
    <row r="6" spans="1:14" ht="12" customHeight="1" x14ac:dyDescent="0.2">
      <c r="A6" s="7" t="str">
        <f>'Pregnant Women Participating'!A6</f>
        <v>Connecticut</v>
      </c>
      <c r="B6" s="13">
        <v>52514</v>
      </c>
      <c r="C6" s="4">
        <v>52087</v>
      </c>
      <c r="D6" s="4">
        <v>51622</v>
      </c>
      <c r="E6" s="4">
        <v>52473</v>
      </c>
      <c r="F6" s="4">
        <v>52110</v>
      </c>
      <c r="G6" s="4">
        <v>52631</v>
      </c>
      <c r="H6" s="4">
        <v>52825</v>
      </c>
      <c r="I6" s="4">
        <v>52912</v>
      </c>
      <c r="J6" s="4">
        <v>52575</v>
      </c>
      <c r="K6" s="4">
        <v>53011</v>
      </c>
      <c r="L6" s="4">
        <v>52807</v>
      </c>
      <c r="M6" s="42">
        <v>53073</v>
      </c>
      <c r="N6" s="13">
        <f t="shared" ref="N6:N14" si="0">IF(SUM(B6:M6)&gt;0,AVERAGE(B6:M6)," ")</f>
        <v>52553.333333333336</v>
      </c>
    </row>
    <row r="7" spans="1:14" ht="12" customHeight="1" x14ac:dyDescent="0.2">
      <c r="A7" s="7" t="str">
        <f>'Pregnant Women Participating'!A7</f>
        <v>Maine</v>
      </c>
      <c r="B7" s="13">
        <v>18975</v>
      </c>
      <c r="C7" s="4">
        <v>18803</v>
      </c>
      <c r="D7" s="4">
        <v>18630</v>
      </c>
      <c r="E7" s="4">
        <v>18697</v>
      </c>
      <c r="F7" s="4">
        <v>18587</v>
      </c>
      <c r="G7" s="4">
        <v>18657</v>
      </c>
      <c r="H7" s="4">
        <v>18752</v>
      </c>
      <c r="I7" s="4">
        <v>18889</v>
      </c>
      <c r="J7" s="4">
        <v>18960</v>
      </c>
      <c r="K7" s="4">
        <v>19084</v>
      </c>
      <c r="L7" s="4">
        <v>19132</v>
      </c>
      <c r="M7" s="42">
        <v>19154</v>
      </c>
      <c r="N7" s="13">
        <f t="shared" si="0"/>
        <v>18860</v>
      </c>
    </row>
    <row r="8" spans="1:14" ht="12" customHeight="1" x14ac:dyDescent="0.2">
      <c r="A8" s="7" t="str">
        <f>'Pregnant Women Participating'!A8</f>
        <v>Massachusetts</v>
      </c>
      <c r="B8" s="13">
        <v>124328</v>
      </c>
      <c r="C8" s="4">
        <v>123689</v>
      </c>
      <c r="D8" s="4">
        <v>122506</v>
      </c>
      <c r="E8" s="4">
        <v>123809</v>
      </c>
      <c r="F8" s="4">
        <v>122719</v>
      </c>
      <c r="G8" s="4">
        <v>123133</v>
      </c>
      <c r="H8" s="4">
        <v>121466</v>
      </c>
      <c r="I8" s="4">
        <v>121938</v>
      </c>
      <c r="J8" s="4">
        <v>120459</v>
      </c>
      <c r="K8" s="4">
        <v>120764</v>
      </c>
      <c r="L8" s="4">
        <v>120023</v>
      </c>
      <c r="M8" s="42">
        <v>120985</v>
      </c>
      <c r="N8" s="13">
        <f t="shared" si="0"/>
        <v>122151.58333333333</v>
      </c>
    </row>
    <row r="9" spans="1:14" ht="12" customHeight="1" x14ac:dyDescent="0.2">
      <c r="A9" s="7" t="str">
        <f>'Pregnant Women Participating'!A9</f>
        <v>New Hampshire</v>
      </c>
      <c r="B9" s="13">
        <v>12375</v>
      </c>
      <c r="C9" s="4">
        <v>12278</v>
      </c>
      <c r="D9" s="4">
        <v>12273</v>
      </c>
      <c r="E9" s="4">
        <v>12301</v>
      </c>
      <c r="F9" s="4">
        <v>12126</v>
      </c>
      <c r="G9" s="4">
        <v>12232</v>
      </c>
      <c r="H9" s="4">
        <v>12282</v>
      </c>
      <c r="I9" s="4">
        <v>12288</v>
      </c>
      <c r="J9" s="4">
        <v>12105</v>
      </c>
      <c r="K9" s="4">
        <v>12114</v>
      </c>
      <c r="L9" s="4">
        <v>12054</v>
      </c>
      <c r="M9" s="42">
        <v>12016</v>
      </c>
      <c r="N9" s="13">
        <f t="shared" si="0"/>
        <v>12203.666666666666</v>
      </c>
    </row>
    <row r="10" spans="1:14" ht="12" customHeight="1" x14ac:dyDescent="0.2">
      <c r="A10" s="7" t="str">
        <f>'Pregnant Women Participating'!A10</f>
        <v>New York</v>
      </c>
      <c r="B10" s="13">
        <v>451198</v>
      </c>
      <c r="C10" s="4">
        <v>449179</v>
      </c>
      <c r="D10" s="4">
        <v>448691</v>
      </c>
      <c r="E10" s="4">
        <v>453272</v>
      </c>
      <c r="F10" s="4">
        <v>453585</v>
      </c>
      <c r="G10" s="4">
        <v>458210</v>
      </c>
      <c r="H10" s="4">
        <v>459000</v>
      </c>
      <c r="I10" s="4">
        <v>460795</v>
      </c>
      <c r="J10" s="4">
        <v>457831</v>
      </c>
      <c r="K10" s="4">
        <v>459227</v>
      </c>
      <c r="L10" s="4">
        <v>457603</v>
      </c>
      <c r="M10" s="42">
        <v>459613</v>
      </c>
      <c r="N10" s="13">
        <f t="shared" si="0"/>
        <v>455683.66666666669</v>
      </c>
    </row>
    <row r="11" spans="1:14" ht="12" customHeight="1" x14ac:dyDescent="0.2">
      <c r="A11" s="7" t="str">
        <f>'Pregnant Women Participating'!A11</f>
        <v>Rhode Island</v>
      </c>
      <c r="B11" s="13">
        <v>18268</v>
      </c>
      <c r="C11" s="4">
        <v>18202</v>
      </c>
      <c r="D11" s="4">
        <v>18153</v>
      </c>
      <c r="E11" s="4">
        <v>18359</v>
      </c>
      <c r="F11" s="4">
        <v>18331</v>
      </c>
      <c r="G11" s="4">
        <v>18333</v>
      </c>
      <c r="H11" s="4">
        <v>18321</v>
      </c>
      <c r="I11" s="4">
        <v>18202</v>
      </c>
      <c r="J11" s="4">
        <v>18078</v>
      </c>
      <c r="K11" s="4">
        <v>18219</v>
      </c>
      <c r="L11" s="4">
        <v>18090</v>
      </c>
      <c r="M11" s="42">
        <v>18105</v>
      </c>
      <c r="N11" s="13">
        <f t="shared" si="0"/>
        <v>18221.75</v>
      </c>
    </row>
    <row r="12" spans="1:14" ht="12" customHeight="1" x14ac:dyDescent="0.2">
      <c r="A12" s="7" t="str">
        <f>'Pregnant Women Participating'!A12</f>
        <v>Vermont</v>
      </c>
      <c r="B12" s="13">
        <v>10297</v>
      </c>
      <c r="C12" s="4">
        <v>10339</v>
      </c>
      <c r="D12" s="4">
        <v>10311</v>
      </c>
      <c r="E12" s="4">
        <v>10391</v>
      </c>
      <c r="F12" s="4">
        <v>10394</v>
      </c>
      <c r="G12" s="4">
        <v>10426</v>
      </c>
      <c r="H12" s="4">
        <v>10412</v>
      </c>
      <c r="I12" s="4">
        <v>10366</v>
      </c>
      <c r="J12" s="4">
        <v>10358</v>
      </c>
      <c r="K12" s="4">
        <v>10425</v>
      </c>
      <c r="L12" s="4">
        <v>10409</v>
      </c>
      <c r="M12" s="42">
        <v>10430</v>
      </c>
      <c r="N12" s="13">
        <f t="shared" si="0"/>
        <v>10379.833333333334</v>
      </c>
    </row>
    <row r="13" spans="1:14" ht="12" customHeight="1" x14ac:dyDescent="0.2">
      <c r="A13" s="7" t="str">
        <f>'Pregnant Women Participating'!A13</f>
        <v>Virgin Islands</v>
      </c>
      <c r="B13" s="13">
        <v>2591</v>
      </c>
      <c r="C13" s="4">
        <v>2526</v>
      </c>
      <c r="D13" s="4">
        <v>2475</v>
      </c>
      <c r="E13" s="4">
        <v>2515</v>
      </c>
      <c r="F13" s="4">
        <v>2495</v>
      </c>
      <c r="G13" s="4">
        <v>2441</v>
      </c>
      <c r="H13" s="4">
        <v>2446</v>
      </c>
      <c r="I13" s="4">
        <v>2460</v>
      </c>
      <c r="J13" s="4">
        <v>2455</v>
      </c>
      <c r="K13" s="4">
        <v>2439</v>
      </c>
      <c r="L13" s="4">
        <v>2481</v>
      </c>
      <c r="M13" s="42">
        <v>2480</v>
      </c>
      <c r="N13" s="13">
        <f t="shared" si="0"/>
        <v>2483.6666666666665</v>
      </c>
    </row>
    <row r="14" spans="1:14" ht="12" customHeight="1" x14ac:dyDescent="0.2">
      <c r="A14" s="7" t="str">
        <f>'Pregnant Women Participating'!A14</f>
        <v>Pleasant Point, ME</v>
      </c>
      <c r="B14" s="13">
        <v>38</v>
      </c>
      <c r="C14" s="4">
        <v>36</v>
      </c>
      <c r="D14" s="4">
        <v>34</v>
      </c>
      <c r="E14" s="4">
        <v>38</v>
      </c>
      <c r="F14" s="4">
        <v>36</v>
      </c>
      <c r="G14" s="4">
        <v>36</v>
      </c>
      <c r="H14" s="4">
        <v>39</v>
      </c>
      <c r="I14" s="4">
        <v>37</v>
      </c>
      <c r="J14" s="4">
        <v>38</v>
      </c>
      <c r="K14" s="4">
        <v>41</v>
      </c>
      <c r="L14" s="4">
        <v>41</v>
      </c>
      <c r="M14" s="42">
        <v>43</v>
      </c>
      <c r="N14" s="13">
        <f t="shared" si="0"/>
        <v>38.083333333333336</v>
      </c>
    </row>
    <row r="15" spans="1:14" s="17" customFormat="1" ht="24.75" customHeight="1" x14ac:dyDescent="0.2">
      <c r="A15" s="14" t="str">
        <f>'Pregnant Women Participating'!A15</f>
        <v>Northeast Region</v>
      </c>
      <c r="B15" s="16">
        <v>690584</v>
      </c>
      <c r="C15" s="15">
        <v>687139</v>
      </c>
      <c r="D15" s="15">
        <v>684695</v>
      </c>
      <c r="E15" s="15">
        <v>691855</v>
      </c>
      <c r="F15" s="15">
        <v>690383</v>
      </c>
      <c r="G15" s="15">
        <v>696099</v>
      </c>
      <c r="H15" s="15">
        <v>695543</v>
      </c>
      <c r="I15" s="15">
        <v>697887</v>
      </c>
      <c r="J15" s="15">
        <v>692859</v>
      </c>
      <c r="K15" s="15">
        <v>695324</v>
      </c>
      <c r="L15" s="15">
        <v>692640</v>
      </c>
      <c r="M15" s="41">
        <v>695899</v>
      </c>
      <c r="N15" s="16">
        <f t="shared" ref="N15:N101" si="1">IF(SUM(B15:M15)&gt;0,AVERAGE(B15:M15)," ")</f>
        <v>692575.58333333337</v>
      </c>
    </row>
    <row r="16" spans="1:14" ht="12" customHeight="1" x14ac:dyDescent="0.2">
      <c r="A16" s="7" t="str">
        <f>'Pregnant Women Participating'!A16</f>
        <v>Delaware</v>
      </c>
      <c r="B16" s="13">
        <v>23804</v>
      </c>
      <c r="C16" s="4">
        <v>23470</v>
      </c>
      <c r="D16" s="4">
        <v>23241</v>
      </c>
      <c r="E16" s="4">
        <v>23278</v>
      </c>
      <c r="F16" s="4">
        <v>23195</v>
      </c>
      <c r="G16" s="4">
        <v>23395</v>
      </c>
      <c r="H16" s="4">
        <v>23346</v>
      </c>
      <c r="I16" s="4">
        <v>23478</v>
      </c>
      <c r="J16" s="4">
        <v>23500</v>
      </c>
      <c r="K16" s="4">
        <v>23506</v>
      </c>
      <c r="L16" s="4">
        <v>23272</v>
      </c>
      <c r="M16" s="42">
        <v>23708</v>
      </c>
      <c r="N16" s="13">
        <f t="shared" si="1"/>
        <v>23432.75</v>
      </c>
    </row>
    <row r="17" spans="1:14" ht="12" customHeight="1" x14ac:dyDescent="0.2">
      <c r="A17" s="7" t="str">
        <f>'Pregnant Women Participating'!A17</f>
        <v>District of Columbia</v>
      </c>
      <c r="B17" s="13">
        <v>12538</v>
      </c>
      <c r="C17" s="4">
        <v>12506</v>
      </c>
      <c r="D17" s="4">
        <v>12572</v>
      </c>
      <c r="E17" s="4">
        <v>12618</v>
      </c>
      <c r="F17" s="4">
        <v>12454</v>
      </c>
      <c r="G17" s="4">
        <v>12564</v>
      </c>
      <c r="H17" s="4">
        <v>12549</v>
      </c>
      <c r="I17" s="4">
        <v>12455</v>
      </c>
      <c r="J17" s="4">
        <v>12367</v>
      </c>
      <c r="K17" s="4">
        <v>12524</v>
      </c>
      <c r="L17" s="4">
        <v>12421</v>
      </c>
      <c r="M17" s="42">
        <v>12539</v>
      </c>
      <c r="N17" s="13">
        <f t="shared" si="1"/>
        <v>12508.916666666666</v>
      </c>
    </row>
    <row r="18" spans="1:14" ht="12" customHeight="1" x14ac:dyDescent="0.2">
      <c r="A18" s="7" t="str">
        <f>'Pregnant Women Participating'!A18</f>
        <v>Maryland</v>
      </c>
      <c r="B18" s="13">
        <v>124471</v>
      </c>
      <c r="C18" s="4">
        <v>122885</v>
      </c>
      <c r="D18" s="4">
        <v>121984</v>
      </c>
      <c r="E18" s="4">
        <v>122239</v>
      </c>
      <c r="F18" s="4">
        <v>121317</v>
      </c>
      <c r="G18" s="4">
        <v>122063</v>
      </c>
      <c r="H18" s="4">
        <v>122298</v>
      </c>
      <c r="I18" s="4">
        <v>123069</v>
      </c>
      <c r="J18" s="4">
        <v>122727</v>
      </c>
      <c r="K18" s="4">
        <v>123234</v>
      </c>
      <c r="L18" s="4">
        <v>122415</v>
      </c>
      <c r="M18" s="42">
        <v>122191</v>
      </c>
      <c r="N18" s="13">
        <f t="shared" si="1"/>
        <v>122574.41666666667</v>
      </c>
    </row>
    <row r="19" spans="1:14" ht="12" customHeight="1" x14ac:dyDescent="0.2">
      <c r="A19" s="7" t="str">
        <f>'Pregnant Women Participating'!A19</f>
        <v>New Jersey</v>
      </c>
      <c r="B19" s="13">
        <v>165035</v>
      </c>
      <c r="C19" s="4">
        <v>164186</v>
      </c>
      <c r="D19" s="4">
        <v>162970</v>
      </c>
      <c r="E19" s="4">
        <v>163517</v>
      </c>
      <c r="F19" s="4">
        <v>163415</v>
      </c>
      <c r="G19" s="4">
        <v>164863</v>
      </c>
      <c r="H19" s="4">
        <v>164028</v>
      </c>
      <c r="I19" s="4">
        <v>164778</v>
      </c>
      <c r="J19" s="4">
        <v>164551</v>
      </c>
      <c r="K19" s="4">
        <v>165385</v>
      </c>
      <c r="L19" s="4">
        <v>165433</v>
      </c>
      <c r="M19" s="42">
        <v>164249</v>
      </c>
      <c r="N19" s="13">
        <f t="shared" si="1"/>
        <v>164367.5</v>
      </c>
    </row>
    <row r="20" spans="1:14" ht="12" customHeight="1" x14ac:dyDescent="0.2">
      <c r="A20" s="7" t="str">
        <f>'Pregnant Women Participating'!A20</f>
        <v>Pennsylvania</v>
      </c>
      <c r="B20" s="13">
        <v>186568</v>
      </c>
      <c r="C20" s="4">
        <v>184441</v>
      </c>
      <c r="D20" s="4">
        <v>182133</v>
      </c>
      <c r="E20" s="4">
        <v>182217</v>
      </c>
      <c r="F20" s="4">
        <v>180485</v>
      </c>
      <c r="G20" s="4">
        <v>181722</v>
      </c>
      <c r="H20" s="4">
        <v>183584</v>
      </c>
      <c r="I20" s="4">
        <v>185547</v>
      </c>
      <c r="J20" s="4">
        <v>185499</v>
      </c>
      <c r="K20" s="4">
        <v>185642</v>
      </c>
      <c r="L20" s="4">
        <v>184290</v>
      </c>
      <c r="M20" s="42">
        <v>184008</v>
      </c>
      <c r="N20" s="13">
        <f t="shared" si="1"/>
        <v>183844.66666666666</v>
      </c>
    </row>
    <row r="21" spans="1:14" ht="12" customHeight="1" x14ac:dyDescent="0.2">
      <c r="A21" s="7" t="str">
        <f>'Pregnant Women Participating'!A21</f>
        <v>Puerto Rico</v>
      </c>
      <c r="B21" s="13">
        <v>88043</v>
      </c>
      <c r="C21" s="4">
        <v>86470</v>
      </c>
      <c r="D21" s="4">
        <v>86099</v>
      </c>
      <c r="E21" s="4">
        <v>86371</v>
      </c>
      <c r="F21" s="4">
        <v>86753</v>
      </c>
      <c r="G21" s="4">
        <v>86787</v>
      </c>
      <c r="H21" s="4">
        <v>86427</v>
      </c>
      <c r="I21" s="4">
        <v>86851</v>
      </c>
      <c r="J21" s="4">
        <v>87206</v>
      </c>
      <c r="K21" s="4">
        <v>87286</v>
      </c>
      <c r="L21" s="4">
        <v>87795</v>
      </c>
      <c r="M21" s="42">
        <v>88334</v>
      </c>
      <c r="N21" s="13">
        <f t="shared" si="1"/>
        <v>87035.166666666672</v>
      </c>
    </row>
    <row r="22" spans="1:14" ht="12" customHeight="1" x14ac:dyDescent="0.2">
      <c r="A22" s="7" t="str">
        <f>'Pregnant Women Participating'!A22</f>
        <v>Virginia</v>
      </c>
      <c r="B22" s="13">
        <v>107878</v>
      </c>
      <c r="C22" s="4">
        <v>105567</v>
      </c>
      <c r="D22" s="4">
        <v>104320</v>
      </c>
      <c r="E22" s="4">
        <v>104119</v>
      </c>
      <c r="F22" s="4">
        <v>102168</v>
      </c>
      <c r="G22" s="4">
        <v>103694</v>
      </c>
      <c r="H22" s="4">
        <v>104634</v>
      </c>
      <c r="I22" s="4">
        <v>104946</v>
      </c>
      <c r="J22" s="4">
        <v>104338</v>
      </c>
      <c r="K22" s="4">
        <v>105179</v>
      </c>
      <c r="L22" s="4">
        <v>105161</v>
      </c>
      <c r="M22" s="42">
        <v>105142</v>
      </c>
      <c r="N22" s="13">
        <f t="shared" si="1"/>
        <v>104762.16666666667</v>
      </c>
    </row>
    <row r="23" spans="1:14" ht="12" customHeight="1" x14ac:dyDescent="0.2">
      <c r="A23" s="7" t="str">
        <f>'Pregnant Women Participating'!A23</f>
        <v>West Virginia</v>
      </c>
      <c r="B23" s="13">
        <v>36030</v>
      </c>
      <c r="C23" s="4">
        <v>35649</v>
      </c>
      <c r="D23" s="4">
        <v>35294</v>
      </c>
      <c r="E23" s="4">
        <v>35343</v>
      </c>
      <c r="F23" s="4">
        <v>34886</v>
      </c>
      <c r="G23" s="4">
        <v>35001</v>
      </c>
      <c r="H23" s="4">
        <v>35273</v>
      </c>
      <c r="I23" s="4">
        <v>35349</v>
      </c>
      <c r="J23" s="4">
        <v>35365</v>
      </c>
      <c r="K23" s="4">
        <v>35720</v>
      </c>
      <c r="L23" s="4">
        <v>35783</v>
      </c>
      <c r="M23" s="42">
        <v>35832</v>
      </c>
      <c r="N23" s="13">
        <f t="shared" si="1"/>
        <v>35460.416666666664</v>
      </c>
    </row>
    <row r="24" spans="1:14" s="17" customFormat="1" ht="24.75" customHeight="1" x14ac:dyDescent="0.2">
      <c r="A24" s="14" t="str">
        <f>'Pregnant Women Participating'!A24</f>
        <v>Mid-Atlantic Region</v>
      </c>
      <c r="B24" s="16">
        <v>744367</v>
      </c>
      <c r="C24" s="15">
        <v>735174</v>
      </c>
      <c r="D24" s="15">
        <v>728613</v>
      </c>
      <c r="E24" s="15">
        <v>729702</v>
      </c>
      <c r="F24" s="15">
        <v>724673</v>
      </c>
      <c r="G24" s="15">
        <v>730089</v>
      </c>
      <c r="H24" s="15">
        <v>732139</v>
      </c>
      <c r="I24" s="15">
        <v>736473</v>
      </c>
      <c r="J24" s="15">
        <v>735553</v>
      </c>
      <c r="K24" s="15">
        <v>738476</v>
      </c>
      <c r="L24" s="15">
        <v>736570</v>
      </c>
      <c r="M24" s="41">
        <v>736003</v>
      </c>
      <c r="N24" s="16">
        <f t="shared" si="1"/>
        <v>733986</v>
      </c>
    </row>
    <row r="25" spans="1:14" ht="12" customHeight="1" x14ac:dyDescent="0.2">
      <c r="A25" s="7" t="str">
        <f>'Pregnant Women Participating'!A25</f>
        <v>Alabama</v>
      </c>
      <c r="B25" s="13">
        <v>113439</v>
      </c>
      <c r="C25" s="4">
        <v>111544</v>
      </c>
      <c r="D25" s="4">
        <v>110175</v>
      </c>
      <c r="E25" s="4">
        <v>110396</v>
      </c>
      <c r="F25" s="4">
        <v>110489</v>
      </c>
      <c r="G25" s="4">
        <v>112213</v>
      </c>
      <c r="H25" s="4">
        <v>112164</v>
      </c>
      <c r="I25" s="4">
        <v>112780</v>
      </c>
      <c r="J25" s="4">
        <v>113170</v>
      </c>
      <c r="K25" s="4">
        <v>114793</v>
      </c>
      <c r="L25" s="4">
        <v>114609</v>
      </c>
      <c r="M25" s="42">
        <v>114007</v>
      </c>
      <c r="N25" s="13">
        <f t="shared" si="1"/>
        <v>112481.58333333333</v>
      </c>
    </row>
    <row r="26" spans="1:14" ht="12" customHeight="1" x14ac:dyDescent="0.2">
      <c r="A26" s="7" t="str">
        <f>'Pregnant Women Participating'!A26</f>
        <v>Florida</v>
      </c>
      <c r="B26" s="13">
        <v>428351</v>
      </c>
      <c r="C26" s="4">
        <v>418561</v>
      </c>
      <c r="D26" s="4">
        <v>414323</v>
      </c>
      <c r="E26" s="4">
        <v>420407</v>
      </c>
      <c r="F26" s="4">
        <v>421058</v>
      </c>
      <c r="G26" s="4">
        <v>424059</v>
      </c>
      <c r="H26" s="4">
        <v>427078</v>
      </c>
      <c r="I26" s="4">
        <v>428605</v>
      </c>
      <c r="J26" s="4">
        <v>429081</v>
      </c>
      <c r="K26" s="4">
        <v>430757</v>
      </c>
      <c r="L26" s="4">
        <v>430513</v>
      </c>
      <c r="M26" s="42">
        <v>431056</v>
      </c>
      <c r="N26" s="13">
        <f t="shared" si="1"/>
        <v>425320.75</v>
      </c>
    </row>
    <row r="27" spans="1:14" ht="12" customHeight="1" x14ac:dyDescent="0.2">
      <c r="A27" s="7" t="str">
        <f>'Pregnant Women Participating'!A27</f>
        <v>Georgia</v>
      </c>
      <c r="B27" s="13">
        <v>246790</v>
      </c>
      <c r="C27" s="4">
        <v>245011</v>
      </c>
      <c r="D27" s="4">
        <v>242881</v>
      </c>
      <c r="E27" s="4">
        <v>239363</v>
      </c>
      <c r="F27" s="4">
        <v>240898</v>
      </c>
      <c r="G27" s="4">
        <v>244882</v>
      </c>
      <c r="H27" s="4">
        <v>245906</v>
      </c>
      <c r="I27" s="4">
        <v>246766</v>
      </c>
      <c r="J27" s="4">
        <v>245225</v>
      </c>
      <c r="K27" s="4">
        <v>247495</v>
      </c>
      <c r="L27" s="4">
        <v>248506</v>
      </c>
      <c r="M27" s="42">
        <v>248796</v>
      </c>
      <c r="N27" s="13">
        <f t="shared" si="1"/>
        <v>245209.91666666666</v>
      </c>
    </row>
    <row r="28" spans="1:14" ht="12" customHeight="1" x14ac:dyDescent="0.2">
      <c r="A28" s="7" t="str">
        <f>'Pregnant Women Participating'!A28</f>
        <v>Kentucky</v>
      </c>
      <c r="B28" s="13">
        <v>108645</v>
      </c>
      <c r="C28" s="4">
        <v>107604</v>
      </c>
      <c r="D28" s="4">
        <v>107059</v>
      </c>
      <c r="E28" s="4">
        <v>107889</v>
      </c>
      <c r="F28" s="4">
        <v>107225</v>
      </c>
      <c r="G28" s="4">
        <v>107968</v>
      </c>
      <c r="H28" s="4">
        <v>108138</v>
      </c>
      <c r="I28" s="4">
        <v>107954</v>
      </c>
      <c r="J28" s="4">
        <v>107910</v>
      </c>
      <c r="K28" s="4">
        <v>108823</v>
      </c>
      <c r="L28" s="4">
        <v>108738</v>
      </c>
      <c r="M28" s="42">
        <v>107698</v>
      </c>
      <c r="N28" s="13">
        <f t="shared" si="1"/>
        <v>107970.91666666667</v>
      </c>
    </row>
    <row r="29" spans="1:14" ht="12" customHeight="1" x14ac:dyDescent="0.2">
      <c r="A29" s="7" t="str">
        <f>'Pregnant Women Participating'!A29</f>
        <v>Mississippi</v>
      </c>
      <c r="B29" s="13">
        <v>61478</v>
      </c>
      <c r="C29" s="4">
        <v>60641</v>
      </c>
      <c r="D29" s="4">
        <v>59488</v>
      </c>
      <c r="E29" s="4">
        <v>59530</v>
      </c>
      <c r="F29" s="4">
        <v>58880</v>
      </c>
      <c r="G29" s="4">
        <v>59772</v>
      </c>
      <c r="H29" s="4">
        <v>60481</v>
      </c>
      <c r="I29" s="4">
        <v>61124</v>
      </c>
      <c r="J29" s="4">
        <v>61677</v>
      </c>
      <c r="K29" s="4">
        <v>62888</v>
      </c>
      <c r="L29" s="4">
        <v>62690</v>
      </c>
      <c r="M29" s="42">
        <v>62624</v>
      </c>
      <c r="N29" s="13">
        <f t="shared" si="1"/>
        <v>60939.416666666664</v>
      </c>
    </row>
    <row r="30" spans="1:14" ht="12" customHeight="1" x14ac:dyDescent="0.2">
      <c r="A30" s="7" t="str">
        <f>'Pregnant Women Participating'!A30</f>
        <v>North Carolina</v>
      </c>
      <c r="B30" s="13">
        <v>258406</v>
      </c>
      <c r="C30" s="4">
        <v>256626</v>
      </c>
      <c r="D30" s="4">
        <v>254820</v>
      </c>
      <c r="E30" s="4">
        <v>256180</v>
      </c>
      <c r="F30" s="4">
        <v>254808</v>
      </c>
      <c r="G30" s="4">
        <v>258474</v>
      </c>
      <c r="H30" s="4">
        <v>259645</v>
      </c>
      <c r="I30" s="4">
        <v>260205</v>
      </c>
      <c r="J30" s="4">
        <v>260234</v>
      </c>
      <c r="K30" s="4">
        <v>262317</v>
      </c>
      <c r="L30" s="4">
        <v>262572</v>
      </c>
      <c r="M30" s="42">
        <v>263216</v>
      </c>
      <c r="N30" s="13">
        <f t="shared" si="1"/>
        <v>258958.58333333334</v>
      </c>
    </row>
    <row r="31" spans="1:14" ht="12" customHeight="1" x14ac:dyDescent="0.2">
      <c r="A31" s="7" t="str">
        <f>'Pregnant Women Participating'!A31</f>
        <v>South Carolina</v>
      </c>
      <c r="B31" s="13">
        <v>100782</v>
      </c>
      <c r="C31" s="4">
        <v>99556</v>
      </c>
      <c r="D31" s="4">
        <v>97433</v>
      </c>
      <c r="E31" s="4">
        <v>97029</v>
      </c>
      <c r="F31" s="4">
        <v>96478</v>
      </c>
      <c r="G31" s="4">
        <v>97434</v>
      </c>
      <c r="H31" s="4">
        <v>98420</v>
      </c>
      <c r="I31" s="4">
        <v>98508</v>
      </c>
      <c r="J31" s="4">
        <v>98786</v>
      </c>
      <c r="K31" s="4">
        <v>99434</v>
      </c>
      <c r="L31" s="4">
        <v>98768</v>
      </c>
      <c r="M31" s="42">
        <v>98050</v>
      </c>
      <c r="N31" s="13">
        <f t="shared" si="1"/>
        <v>98389.833333333328</v>
      </c>
    </row>
    <row r="32" spans="1:14" ht="12" customHeight="1" x14ac:dyDescent="0.2">
      <c r="A32" s="7" t="str">
        <f>'Pregnant Women Participating'!A32</f>
        <v>Tennessee</v>
      </c>
      <c r="B32" s="13">
        <v>148435</v>
      </c>
      <c r="C32" s="4">
        <v>147151</v>
      </c>
      <c r="D32" s="4">
        <v>149560</v>
      </c>
      <c r="E32" s="4">
        <v>153539</v>
      </c>
      <c r="F32" s="4">
        <v>154276</v>
      </c>
      <c r="G32" s="4">
        <v>157663</v>
      </c>
      <c r="H32" s="4">
        <v>159605</v>
      </c>
      <c r="I32" s="4">
        <v>162539</v>
      </c>
      <c r="J32" s="4">
        <v>161764</v>
      </c>
      <c r="K32" s="4">
        <v>163163</v>
      </c>
      <c r="L32" s="4">
        <v>162997</v>
      </c>
      <c r="M32" s="42">
        <v>162862</v>
      </c>
      <c r="N32" s="13">
        <f t="shared" si="1"/>
        <v>156962.83333333334</v>
      </c>
    </row>
    <row r="33" spans="1:14" ht="12" customHeight="1" x14ac:dyDescent="0.2">
      <c r="A33" s="7" t="str">
        <f>'Pregnant Women Participating'!A33</f>
        <v>Choctaw Indians, MS</v>
      </c>
      <c r="B33" s="13">
        <v>782</v>
      </c>
      <c r="C33" s="4">
        <v>790</v>
      </c>
      <c r="D33" s="4">
        <v>762</v>
      </c>
      <c r="E33" s="4">
        <v>748</v>
      </c>
      <c r="F33" s="4">
        <v>753</v>
      </c>
      <c r="G33" s="4">
        <v>711</v>
      </c>
      <c r="H33" s="4">
        <v>688</v>
      </c>
      <c r="I33" s="4">
        <v>680</v>
      </c>
      <c r="J33" s="4">
        <v>665</v>
      </c>
      <c r="K33" s="4">
        <v>647</v>
      </c>
      <c r="L33" s="4">
        <v>674</v>
      </c>
      <c r="M33" s="42">
        <v>636</v>
      </c>
      <c r="N33" s="13">
        <f t="shared" si="1"/>
        <v>711.33333333333337</v>
      </c>
    </row>
    <row r="34" spans="1:14" ht="12" customHeight="1" x14ac:dyDescent="0.2">
      <c r="A34" s="7" t="str">
        <f>'Pregnant Women Participating'!A34</f>
        <v>Eastern Cherokee, NC</v>
      </c>
      <c r="B34" s="13">
        <v>480</v>
      </c>
      <c r="C34" s="4">
        <v>486</v>
      </c>
      <c r="D34" s="4">
        <v>468</v>
      </c>
      <c r="E34" s="4">
        <v>473</v>
      </c>
      <c r="F34" s="4">
        <v>452</v>
      </c>
      <c r="G34" s="4">
        <v>439</v>
      </c>
      <c r="H34" s="4">
        <v>430</v>
      </c>
      <c r="I34" s="4">
        <v>458</v>
      </c>
      <c r="J34" s="4">
        <v>453</v>
      </c>
      <c r="K34" s="4">
        <v>455</v>
      </c>
      <c r="L34" s="4">
        <v>474</v>
      </c>
      <c r="M34" s="42">
        <v>474</v>
      </c>
      <c r="N34" s="13">
        <f t="shared" si="1"/>
        <v>461.83333333333331</v>
      </c>
    </row>
    <row r="35" spans="1:14" s="17" customFormat="1" ht="24.75" customHeight="1" x14ac:dyDescent="0.2">
      <c r="A35" s="14" t="str">
        <f>'Pregnant Women Participating'!A35</f>
        <v>Southeast Region</v>
      </c>
      <c r="B35" s="16">
        <v>1467588</v>
      </c>
      <c r="C35" s="15">
        <v>1447970</v>
      </c>
      <c r="D35" s="15">
        <v>1436969</v>
      </c>
      <c r="E35" s="15">
        <v>1445554</v>
      </c>
      <c r="F35" s="15">
        <v>1445317</v>
      </c>
      <c r="G35" s="15">
        <v>1463615</v>
      </c>
      <c r="H35" s="15">
        <v>1472555</v>
      </c>
      <c r="I35" s="15">
        <v>1479619</v>
      </c>
      <c r="J35" s="15">
        <v>1478965</v>
      </c>
      <c r="K35" s="15">
        <v>1490772</v>
      </c>
      <c r="L35" s="15">
        <v>1490541</v>
      </c>
      <c r="M35" s="41">
        <v>1489419</v>
      </c>
      <c r="N35" s="16">
        <f t="shared" si="1"/>
        <v>1467407</v>
      </c>
    </row>
    <row r="36" spans="1:14" ht="12" customHeight="1" x14ac:dyDescent="0.2">
      <c r="A36" s="7" t="str">
        <f>'Pregnant Women Participating'!A36</f>
        <v>Illinois</v>
      </c>
      <c r="B36" s="13">
        <v>177167</v>
      </c>
      <c r="C36" s="4">
        <v>174656</v>
      </c>
      <c r="D36" s="4">
        <v>172667</v>
      </c>
      <c r="E36" s="4">
        <v>174030</v>
      </c>
      <c r="F36" s="4">
        <v>172716</v>
      </c>
      <c r="G36" s="4">
        <v>174113</v>
      </c>
      <c r="H36" s="4">
        <v>174783</v>
      </c>
      <c r="I36" s="4">
        <v>175085</v>
      </c>
      <c r="J36" s="4">
        <v>174700</v>
      </c>
      <c r="K36" s="4">
        <v>176407</v>
      </c>
      <c r="L36" s="4">
        <v>176662</v>
      </c>
      <c r="M36" s="42">
        <v>177048</v>
      </c>
      <c r="N36" s="13">
        <f t="shared" si="1"/>
        <v>175002.83333333334</v>
      </c>
    </row>
    <row r="37" spans="1:14" ht="12" customHeight="1" x14ac:dyDescent="0.2">
      <c r="A37" s="7" t="str">
        <f>'Pregnant Women Participating'!A37</f>
        <v>Indiana</v>
      </c>
      <c r="B37" s="13">
        <v>157157</v>
      </c>
      <c r="C37" s="4">
        <v>155017</v>
      </c>
      <c r="D37" s="4">
        <v>153892</v>
      </c>
      <c r="E37" s="4">
        <v>155168</v>
      </c>
      <c r="F37" s="4">
        <v>154177</v>
      </c>
      <c r="G37" s="4">
        <v>155749</v>
      </c>
      <c r="H37" s="4">
        <v>156086</v>
      </c>
      <c r="I37" s="4">
        <v>156752</v>
      </c>
      <c r="J37" s="4">
        <v>156265</v>
      </c>
      <c r="K37" s="4">
        <v>157382</v>
      </c>
      <c r="L37" s="4">
        <v>156884</v>
      </c>
      <c r="M37" s="42">
        <v>156585</v>
      </c>
      <c r="N37" s="13">
        <f t="shared" si="1"/>
        <v>155926.16666666666</v>
      </c>
    </row>
    <row r="38" spans="1:14" ht="12" customHeight="1" x14ac:dyDescent="0.2">
      <c r="A38" s="7" t="str">
        <f>'Pregnant Women Participating'!A38</f>
        <v>Iowa</v>
      </c>
      <c r="B38" s="13">
        <v>63136</v>
      </c>
      <c r="C38" s="4">
        <v>62803</v>
      </c>
      <c r="D38" s="4">
        <v>62387</v>
      </c>
      <c r="E38" s="4">
        <v>62348</v>
      </c>
      <c r="F38" s="4">
        <v>62124</v>
      </c>
      <c r="G38" s="4">
        <v>62426</v>
      </c>
      <c r="H38" s="4">
        <v>63084</v>
      </c>
      <c r="I38" s="4">
        <v>62909</v>
      </c>
      <c r="J38" s="4">
        <v>62845</v>
      </c>
      <c r="K38" s="4">
        <v>62916</v>
      </c>
      <c r="L38" s="4">
        <v>62609</v>
      </c>
      <c r="M38" s="42">
        <v>62517</v>
      </c>
      <c r="N38" s="13">
        <f t="shared" si="1"/>
        <v>62675.333333333336</v>
      </c>
    </row>
    <row r="39" spans="1:14" ht="12" customHeight="1" x14ac:dyDescent="0.2">
      <c r="A39" s="7" t="str">
        <f>'Pregnant Women Participating'!A39</f>
        <v>Michigan</v>
      </c>
      <c r="B39" s="13">
        <v>188125</v>
      </c>
      <c r="C39" s="4">
        <v>187349</v>
      </c>
      <c r="D39" s="4">
        <v>185622</v>
      </c>
      <c r="E39" s="4">
        <v>186906</v>
      </c>
      <c r="F39" s="4">
        <v>185640</v>
      </c>
      <c r="G39" s="4">
        <v>185803</v>
      </c>
      <c r="H39" s="4">
        <v>186182</v>
      </c>
      <c r="I39" s="4">
        <v>186207</v>
      </c>
      <c r="J39" s="4">
        <v>186434</v>
      </c>
      <c r="K39" s="4">
        <v>187186</v>
      </c>
      <c r="L39" s="4">
        <v>186686</v>
      </c>
      <c r="M39" s="42">
        <v>186374</v>
      </c>
      <c r="N39" s="13">
        <f t="shared" si="1"/>
        <v>186542.83333333334</v>
      </c>
    </row>
    <row r="40" spans="1:14" ht="12" customHeight="1" x14ac:dyDescent="0.2">
      <c r="A40" s="7" t="str">
        <f>'Pregnant Women Participating'!A40</f>
        <v>Minnesota</v>
      </c>
      <c r="B40" s="13">
        <v>102509</v>
      </c>
      <c r="C40" s="4">
        <v>101350</v>
      </c>
      <c r="D40" s="4">
        <v>100533</v>
      </c>
      <c r="E40" s="4">
        <v>101547</v>
      </c>
      <c r="F40" s="4">
        <v>101065</v>
      </c>
      <c r="G40" s="4">
        <v>101856</v>
      </c>
      <c r="H40" s="4">
        <v>102174</v>
      </c>
      <c r="I40" s="4">
        <v>102610</v>
      </c>
      <c r="J40" s="4">
        <v>102661</v>
      </c>
      <c r="K40" s="4">
        <v>103726</v>
      </c>
      <c r="L40" s="4">
        <v>104296</v>
      </c>
      <c r="M40" s="42">
        <v>104907</v>
      </c>
      <c r="N40" s="13">
        <f t="shared" si="1"/>
        <v>102436.16666666667</v>
      </c>
    </row>
    <row r="41" spans="1:14" ht="12" customHeight="1" x14ac:dyDescent="0.2">
      <c r="A41" s="7" t="str">
        <f>'Pregnant Women Participating'!A41</f>
        <v>Ohio</v>
      </c>
      <c r="B41" s="13">
        <v>183855</v>
      </c>
      <c r="C41" s="4">
        <v>182005</v>
      </c>
      <c r="D41" s="4">
        <v>179157</v>
      </c>
      <c r="E41" s="4">
        <v>178469</v>
      </c>
      <c r="F41" s="4">
        <v>177399</v>
      </c>
      <c r="G41" s="4">
        <v>178153</v>
      </c>
      <c r="H41" s="4">
        <v>180504</v>
      </c>
      <c r="I41" s="4">
        <v>180837</v>
      </c>
      <c r="J41" s="4">
        <v>181066</v>
      </c>
      <c r="K41" s="4">
        <v>181836</v>
      </c>
      <c r="L41" s="4">
        <v>181830</v>
      </c>
      <c r="M41" s="42">
        <v>183547</v>
      </c>
      <c r="N41" s="13">
        <f t="shared" si="1"/>
        <v>180721.5</v>
      </c>
    </row>
    <row r="42" spans="1:14" ht="12" customHeight="1" x14ac:dyDescent="0.2">
      <c r="A42" s="7" t="str">
        <f>'Pregnant Women Participating'!A42</f>
        <v>Wisconsin</v>
      </c>
      <c r="B42" s="13">
        <v>94740</v>
      </c>
      <c r="C42" s="4">
        <v>94230</v>
      </c>
      <c r="D42" s="4">
        <v>94006</v>
      </c>
      <c r="E42" s="4">
        <v>95002</v>
      </c>
      <c r="F42" s="4">
        <v>94580</v>
      </c>
      <c r="G42" s="4">
        <v>94980</v>
      </c>
      <c r="H42" s="4">
        <v>95117</v>
      </c>
      <c r="I42" s="4">
        <v>95077</v>
      </c>
      <c r="J42" s="4">
        <v>94762</v>
      </c>
      <c r="K42" s="4">
        <v>95173</v>
      </c>
      <c r="L42" s="4">
        <v>94362</v>
      </c>
      <c r="M42" s="42">
        <v>94784</v>
      </c>
      <c r="N42" s="13">
        <f t="shared" si="1"/>
        <v>94734.416666666672</v>
      </c>
    </row>
    <row r="43" spans="1:14" s="17" customFormat="1" ht="24.75" customHeight="1" x14ac:dyDescent="0.2">
      <c r="A43" s="14" t="str">
        <f>'Pregnant Women Participating'!A43</f>
        <v>Midwest Region</v>
      </c>
      <c r="B43" s="16">
        <v>966689</v>
      </c>
      <c r="C43" s="15">
        <v>957410</v>
      </c>
      <c r="D43" s="15">
        <v>948264</v>
      </c>
      <c r="E43" s="15">
        <v>953470</v>
      </c>
      <c r="F43" s="15">
        <v>947701</v>
      </c>
      <c r="G43" s="15">
        <v>953080</v>
      </c>
      <c r="H43" s="15">
        <v>957930</v>
      </c>
      <c r="I43" s="15">
        <v>959477</v>
      </c>
      <c r="J43" s="15">
        <v>958733</v>
      </c>
      <c r="K43" s="15">
        <v>964626</v>
      </c>
      <c r="L43" s="15">
        <v>963329</v>
      </c>
      <c r="M43" s="41">
        <v>965762</v>
      </c>
      <c r="N43" s="16">
        <f t="shared" si="1"/>
        <v>958039.25</v>
      </c>
    </row>
    <row r="44" spans="1:14" ht="12" customHeight="1" x14ac:dyDescent="0.2">
      <c r="A44" s="7" t="str">
        <f>'Pregnant Women Participating'!A44</f>
        <v>Arizona</v>
      </c>
      <c r="B44" s="13">
        <v>149743</v>
      </c>
      <c r="C44" s="4">
        <v>147651</v>
      </c>
      <c r="D44" s="4">
        <v>146939</v>
      </c>
      <c r="E44" s="4">
        <v>148350</v>
      </c>
      <c r="F44" s="4">
        <v>147273</v>
      </c>
      <c r="G44" s="4">
        <v>147126</v>
      </c>
      <c r="H44" s="4">
        <v>146580</v>
      </c>
      <c r="I44" s="4">
        <v>146639</v>
      </c>
      <c r="J44" s="4">
        <v>144987</v>
      </c>
      <c r="K44" s="4">
        <v>145884</v>
      </c>
      <c r="L44" s="4">
        <v>145464</v>
      </c>
      <c r="M44" s="42">
        <v>146153</v>
      </c>
      <c r="N44" s="13">
        <f t="shared" si="1"/>
        <v>146899.08333333334</v>
      </c>
    </row>
    <row r="45" spans="1:14" ht="12" customHeight="1" x14ac:dyDescent="0.2">
      <c r="A45" s="7" t="str">
        <f>'Pregnant Women Participating'!A45</f>
        <v>Arkansas</v>
      </c>
      <c r="B45" s="13">
        <v>65737</v>
      </c>
      <c r="C45" s="4">
        <v>64687</v>
      </c>
      <c r="D45" s="4">
        <v>64316</v>
      </c>
      <c r="E45" s="4">
        <v>64637</v>
      </c>
      <c r="F45" s="4">
        <v>63691</v>
      </c>
      <c r="G45" s="4">
        <v>63913</v>
      </c>
      <c r="H45" s="4">
        <v>64738</v>
      </c>
      <c r="I45" s="4">
        <v>65070</v>
      </c>
      <c r="J45" s="4">
        <v>65543</v>
      </c>
      <c r="K45" s="4">
        <v>66192</v>
      </c>
      <c r="L45" s="4">
        <v>66376</v>
      </c>
      <c r="M45" s="42">
        <v>66677</v>
      </c>
      <c r="N45" s="13">
        <f t="shared" si="1"/>
        <v>65131.416666666664</v>
      </c>
    </row>
    <row r="46" spans="1:14" ht="12" customHeight="1" x14ac:dyDescent="0.2">
      <c r="A46" s="7" t="str">
        <f>'Pregnant Women Participating'!A46</f>
        <v>Louisiana</v>
      </c>
      <c r="B46" s="13">
        <v>103682</v>
      </c>
      <c r="C46" s="4">
        <v>102083</v>
      </c>
      <c r="D46" s="4">
        <v>101001</v>
      </c>
      <c r="E46" s="4">
        <v>100218</v>
      </c>
      <c r="F46" s="4">
        <v>100824</v>
      </c>
      <c r="G46" s="4">
        <v>100982</v>
      </c>
      <c r="H46" s="4">
        <v>101621</v>
      </c>
      <c r="I46" s="4">
        <v>101813</v>
      </c>
      <c r="J46" s="4">
        <v>103247</v>
      </c>
      <c r="K46" s="4">
        <v>104248</v>
      </c>
      <c r="L46" s="4">
        <v>104843</v>
      </c>
      <c r="M46" s="42">
        <v>105836</v>
      </c>
      <c r="N46" s="13">
        <f t="shared" si="1"/>
        <v>102533.16666666667</v>
      </c>
    </row>
    <row r="47" spans="1:14" ht="12" customHeight="1" x14ac:dyDescent="0.2">
      <c r="A47" s="7" t="str">
        <f>'Pregnant Women Participating'!A47</f>
        <v>New Mexico</v>
      </c>
      <c r="B47" s="13">
        <v>41688</v>
      </c>
      <c r="C47" s="4">
        <v>41151</v>
      </c>
      <c r="D47" s="4">
        <v>41095</v>
      </c>
      <c r="E47" s="4">
        <v>41929</v>
      </c>
      <c r="F47" s="4">
        <v>42699</v>
      </c>
      <c r="G47" s="4">
        <v>43002</v>
      </c>
      <c r="H47" s="4">
        <v>43592</v>
      </c>
      <c r="I47" s="4">
        <v>43915</v>
      </c>
      <c r="J47" s="4">
        <v>44174</v>
      </c>
      <c r="K47" s="4">
        <v>44680</v>
      </c>
      <c r="L47" s="4">
        <v>45135</v>
      </c>
      <c r="M47" s="42">
        <v>45515</v>
      </c>
      <c r="N47" s="13">
        <f t="shared" si="1"/>
        <v>43214.583333333336</v>
      </c>
    </row>
    <row r="48" spans="1:14" ht="12" customHeight="1" x14ac:dyDescent="0.2">
      <c r="A48" s="7" t="str">
        <f>'Pregnant Women Participating'!A48</f>
        <v>Oklahoma</v>
      </c>
      <c r="B48" s="13">
        <v>75951</v>
      </c>
      <c r="C48" s="4">
        <v>74436</v>
      </c>
      <c r="D48" s="4">
        <v>73283</v>
      </c>
      <c r="E48" s="4">
        <v>73699</v>
      </c>
      <c r="F48" s="4">
        <v>72167</v>
      </c>
      <c r="G48" s="4">
        <v>72993</v>
      </c>
      <c r="H48" s="4">
        <v>73684</v>
      </c>
      <c r="I48" s="4">
        <v>74253</v>
      </c>
      <c r="J48" s="4">
        <v>74466</v>
      </c>
      <c r="K48" s="4">
        <v>75436</v>
      </c>
      <c r="L48" s="4">
        <v>75743</v>
      </c>
      <c r="M48" s="42">
        <v>76335</v>
      </c>
      <c r="N48" s="13">
        <f t="shared" si="1"/>
        <v>74370.5</v>
      </c>
    </row>
    <row r="49" spans="1:14" ht="12" customHeight="1" x14ac:dyDescent="0.2">
      <c r="A49" s="7" t="str">
        <f>'Pregnant Women Participating'!A49</f>
        <v>Texas</v>
      </c>
      <c r="B49" s="13">
        <v>808744</v>
      </c>
      <c r="C49" s="4">
        <v>798079</v>
      </c>
      <c r="D49" s="4">
        <v>791216</v>
      </c>
      <c r="E49" s="4">
        <v>792021</v>
      </c>
      <c r="F49" s="4">
        <v>794224</v>
      </c>
      <c r="G49" s="4">
        <v>798146</v>
      </c>
      <c r="H49" s="4">
        <v>802265</v>
      </c>
      <c r="I49" s="4">
        <v>804262</v>
      </c>
      <c r="J49" s="4">
        <v>804279</v>
      </c>
      <c r="K49" s="4">
        <v>808494</v>
      </c>
      <c r="L49" s="4">
        <v>807846</v>
      </c>
      <c r="M49" s="42">
        <v>810912</v>
      </c>
      <c r="N49" s="13">
        <f t="shared" si="1"/>
        <v>801707.33333333337</v>
      </c>
    </row>
    <row r="50" spans="1:14" ht="12" customHeight="1" x14ac:dyDescent="0.2">
      <c r="A50" s="7" t="str">
        <f>'Pregnant Women Participating'!A50</f>
        <v>Utah</v>
      </c>
      <c r="B50" s="13">
        <v>49410</v>
      </c>
      <c r="C50" s="4">
        <v>48556</v>
      </c>
      <c r="D50" s="4">
        <v>48748</v>
      </c>
      <c r="E50" s="4">
        <v>49232</v>
      </c>
      <c r="F50" s="4">
        <v>49097</v>
      </c>
      <c r="G50" s="4">
        <v>49440</v>
      </c>
      <c r="H50" s="4">
        <v>49478</v>
      </c>
      <c r="I50" s="4">
        <v>49358</v>
      </c>
      <c r="J50" s="4">
        <v>48993</v>
      </c>
      <c r="K50" s="4">
        <v>48635</v>
      </c>
      <c r="L50" s="4">
        <v>48239</v>
      </c>
      <c r="M50" s="42">
        <v>48254</v>
      </c>
      <c r="N50" s="13">
        <f t="shared" si="1"/>
        <v>48953.333333333336</v>
      </c>
    </row>
    <row r="51" spans="1:14" ht="12" customHeight="1" x14ac:dyDescent="0.2">
      <c r="A51" s="7" t="str">
        <f>'Pregnant Women Participating'!A51</f>
        <v>Inter-Tribal Council, AZ</v>
      </c>
      <c r="B51" s="13">
        <v>6531</v>
      </c>
      <c r="C51" s="4">
        <v>6267</v>
      </c>
      <c r="D51" s="4">
        <v>6353</v>
      </c>
      <c r="E51" s="4">
        <v>6494</v>
      </c>
      <c r="F51" s="4">
        <v>6316</v>
      </c>
      <c r="G51" s="4">
        <v>6442</v>
      </c>
      <c r="H51" s="4">
        <v>6412</v>
      </c>
      <c r="I51" s="4">
        <v>6420</v>
      </c>
      <c r="J51" s="4">
        <v>6461</v>
      </c>
      <c r="K51" s="4">
        <v>6540</v>
      </c>
      <c r="L51" s="4">
        <v>6416</v>
      </c>
      <c r="M51" s="42">
        <v>6510</v>
      </c>
      <c r="N51" s="13">
        <f t="shared" si="1"/>
        <v>6430.166666666667</v>
      </c>
    </row>
    <row r="52" spans="1:14" ht="12" customHeight="1" x14ac:dyDescent="0.2">
      <c r="A52" s="7" t="str">
        <f>'Pregnant Women Participating'!A52</f>
        <v>Navajo Nation, AZ</v>
      </c>
      <c r="B52" s="13">
        <v>4303</v>
      </c>
      <c r="C52" s="4">
        <v>4211</v>
      </c>
      <c r="D52" s="4">
        <v>4107</v>
      </c>
      <c r="E52" s="4">
        <v>4258</v>
      </c>
      <c r="F52" s="4">
        <v>4243</v>
      </c>
      <c r="G52" s="4">
        <v>4246</v>
      </c>
      <c r="H52" s="4">
        <v>4187</v>
      </c>
      <c r="I52" s="4">
        <v>4182</v>
      </c>
      <c r="J52" s="4">
        <v>4146</v>
      </c>
      <c r="K52" s="4">
        <v>4201</v>
      </c>
      <c r="L52" s="4">
        <v>4203</v>
      </c>
      <c r="M52" s="42">
        <v>4157</v>
      </c>
      <c r="N52" s="13">
        <f t="shared" si="1"/>
        <v>4203.666666666667</v>
      </c>
    </row>
    <row r="53" spans="1:14" ht="12" customHeight="1" x14ac:dyDescent="0.2">
      <c r="A53" s="7" t="str">
        <f>'Pregnant Women Participating'!A53</f>
        <v>Acoma, Canoncito &amp; Laguna, NM</v>
      </c>
      <c r="B53" s="13">
        <v>271</v>
      </c>
      <c r="C53" s="4">
        <v>286</v>
      </c>
      <c r="D53" s="4">
        <v>290</v>
      </c>
      <c r="E53" s="4">
        <v>260</v>
      </c>
      <c r="F53" s="4">
        <v>271</v>
      </c>
      <c r="G53" s="4">
        <v>289</v>
      </c>
      <c r="H53" s="4">
        <v>277</v>
      </c>
      <c r="I53" s="4">
        <v>290</v>
      </c>
      <c r="J53" s="4">
        <v>304</v>
      </c>
      <c r="K53" s="4">
        <v>264</v>
      </c>
      <c r="L53" s="4">
        <v>290</v>
      </c>
      <c r="M53" s="42">
        <v>306</v>
      </c>
      <c r="N53" s="13">
        <f t="shared" si="1"/>
        <v>283.16666666666669</v>
      </c>
    </row>
    <row r="54" spans="1:14" ht="12" customHeight="1" x14ac:dyDescent="0.2">
      <c r="A54" s="7" t="str">
        <f>'Pregnant Women Participating'!A54</f>
        <v>Eight Northern Pueblos, NM</v>
      </c>
      <c r="B54" s="13">
        <v>271</v>
      </c>
      <c r="C54" s="4">
        <v>282</v>
      </c>
      <c r="D54" s="4">
        <v>283</v>
      </c>
      <c r="E54" s="4">
        <v>284</v>
      </c>
      <c r="F54" s="4">
        <v>289</v>
      </c>
      <c r="G54" s="4">
        <v>291</v>
      </c>
      <c r="H54" s="4">
        <v>283</v>
      </c>
      <c r="I54" s="4">
        <v>290</v>
      </c>
      <c r="J54" s="4">
        <v>296</v>
      </c>
      <c r="K54" s="4">
        <v>304</v>
      </c>
      <c r="L54" s="4">
        <v>317</v>
      </c>
      <c r="M54" s="42">
        <v>319</v>
      </c>
      <c r="N54" s="13">
        <f t="shared" si="1"/>
        <v>292.41666666666669</v>
      </c>
    </row>
    <row r="55" spans="1:14" ht="12" customHeight="1" x14ac:dyDescent="0.2">
      <c r="A55" s="7" t="str">
        <f>'Pregnant Women Participating'!A55</f>
        <v>Five Sandoval Pueblos, NM</v>
      </c>
      <c r="B55" s="13">
        <v>152</v>
      </c>
      <c r="C55" s="4">
        <v>142</v>
      </c>
      <c r="D55" s="4">
        <v>144</v>
      </c>
      <c r="E55" s="4">
        <v>155</v>
      </c>
      <c r="F55" s="4">
        <v>158</v>
      </c>
      <c r="G55" s="4">
        <v>158</v>
      </c>
      <c r="H55" s="4">
        <v>172</v>
      </c>
      <c r="I55" s="4">
        <v>183</v>
      </c>
      <c r="J55" s="4">
        <v>177</v>
      </c>
      <c r="K55" s="4">
        <v>168</v>
      </c>
      <c r="L55" s="4">
        <v>172</v>
      </c>
      <c r="M55" s="42">
        <v>179</v>
      </c>
      <c r="N55" s="13">
        <f t="shared" si="1"/>
        <v>163.33333333333334</v>
      </c>
    </row>
    <row r="56" spans="1:14" ht="12" customHeight="1" x14ac:dyDescent="0.2">
      <c r="A56" s="7" t="str">
        <f>'Pregnant Women Participating'!A56</f>
        <v>Isleta Pueblo, NM</v>
      </c>
      <c r="B56" s="13">
        <v>1017</v>
      </c>
      <c r="C56" s="4">
        <v>945</v>
      </c>
      <c r="D56" s="4">
        <v>947</v>
      </c>
      <c r="E56" s="4">
        <v>958</v>
      </c>
      <c r="F56" s="4">
        <v>943</v>
      </c>
      <c r="G56" s="4">
        <v>949</v>
      </c>
      <c r="H56" s="4">
        <v>943</v>
      </c>
      <c r="I56" s="4">
        <v>931</v>
      </c>
      <c r="J56" s="4">
        <v>916</v>
      </c>
      <c r="K56" s="4">
        <v>890</v>
      </c>
      <c r="L56" s="4">
        <v>916</v>
      </c>
      <c r="M56" s="42">
        <v>938</v>
      </c>
      <c r="N56" s="13">
        <f t="shared" si="1"/>
        <v>941.08333333333337</v>
      </c>
    </row>
    <row r="57" spans="1:14" ht="12" customHeight="1" x14ac:dyDescent="0.2">
      <c r="A57" s="7" t="str">
        <f>'Pregnant Women Participating'!A57</f>
        <v>San Felipe Pueblo, NM</v>
      </c>
      <c r="B57" s="13">
        <v>255</v>
      </c>
      <c r="C57" s="4">
        <v>235</v>
      </c>
      <c r="D57" s="4">
        <v>207</v>
      </c>
      <c r="E57" s="4">
        <v>239</v>
      </c>
      <c r="F57" s="4">
        <v>221</v>
      </c>
      <c r="G57" s="4">
        <v>203</v>
      </c>
      <c r="H57" s="4">
        <v>197</v>
      </c>
      <c r="I57" s="4">
        <v>193</v>
      </c>
      <c r="J57" s="4">
        <v>215</v>
      </c>
      <c r="K57" s="4">
        <v>202</v>
      </c>
      <c r="L57" s="4">
        <v>191</v>
      </c>
      <c r="M57" s="42">
        <v>204</v>
      </c>
      <c r="N57" s="13">
        <f t="shared" si="1"/>
        <v>213.5</v>
      </c>
    </row>
    <row r="58" spans="1:14" ht="12" customHeight="1" x14ac:dyDescent="0.2">
      <c r="A58" s="7" t="str">
        <f>'Pregnant Women Participating'!A58</f>
        <v>Santo Domingo Tribe, NM</v>
      </c>
      <c r="B58" s="13">
        <v>132</v>
      </c>
      <c r="C58" s="4">
        <v>128</v>
      </c>
      <c r="D58" s="4">
        <v>129</v>
      </c>
      <c r="E58" s="4">
        <v>136</v>
      </c>
      <c r="F58" s="4">
        <v>131</v>
      </c>
      <c r="G58" s="4">
        <v>135</v>
      </c>
      <c r="H58" s="4">
        <v>136</v>
      </c>
      <c r="I58" s="4">
        <v>139</v>
      </c>
      <c r="J58" s="4">
        <v>136</v>
      </c>
      <c r="K58" s="4">
        <v>137</v>
      </c>
      <c r="L58" s="4">
        <v>135</v>
      </c>
      <c r="M58" s="42">
        <v>131</v>
      </c>
      <c r="N58" s="13">
        <f t="shared" si="1"/>
        <v>133.75</v>
      </c>
    </row>
    <row r="59" spans="1:14" ht="12" customHeight="1" x14ac:dyDescent="0.2">
      <c r="A59" s="7" t="str">
        <f>'Pregnant Women Participating'!A59</f>
        <v>Zuni Pueblo, NM</v>
      </c>
      <c r="B59" s="13">
        <v>441</v>
      </c>
      <c r="C59" s="4">
        <v>451</v>
      </c>
      <c r="D59" s="4">
        <v>448</v>
      </c>
      <c r="E59" s="4">
        <v>447</v>
      </c>
      <c r="F59" s="4">
        <v>465</v>
      </c>
      <c r="G59" s="4">
        <v>464</v>
      </c>
      <c r="H59" s="4">
        <v>422</v>
      </c>
      <c r="I59" s="4">
        <v>460</v>
      </c>
      <c r="J59" s="4">
        <v>488</v>
      </c>
      <c r="K59" s="4">
        <v>478</v>
      </c>
      <c r="L59" s="4">
        <v>500</v>
      </c>
      <c r="M59" s="42">
        <v>489</v>
      </c>
      <c r="N59" s="13">
        <f t="shared" si="1"/>
        <v>462.75</v>
      </c>
    </row>
    <row r="60" spans="1:14" ht="12" customHeight="1" x14ac:dyDescent="0.2">
      <c r="A60" s="7" t="str">
        <f>'Pregnant Women Participating'!A60</f>
        <v>Cherokee Nation, OK</v>
      </c>
      <c r="B60" s="13">
        <v>6285</v>
      </c>
      <c r="C60" s="4">
        <v>6165</v>
      </c>
      <c r="D60" s="4">
        <v>6040</v>
      </c>
      <c r="E60" s="4">
        <v>5998</v>
      </c>
      <c r="F60" s="4">
        <v>5851</v>
      </c>
      <c r="G60" s="4">
        <v>5839</v>
      </c>
      <c r="H60" s="4">
        <v>5877</v>
      </c>
      <c r="I60" s="4">
        <v>5937</v>
      </c>
      <c r="J60" s="4">
        <v>5994</v>
      </c>
      <c r="K60" s="4">
        <v>6032</v>
      </c>
      <c r="L60" s="4">
        <v>5938</v>
      </c>
      <c r="M60" s="42">
        <v>5827</v>
      </c>
      <c r="N60" s="13">
        <f t="shared" si="1"/>
        <v>5981.916666666667</v>
      </c>
    </row>
    <row r="61" spans="1:14" ht="12" customHeight="1" x14ac:dyDescent="0.2">
      <c r="A61" s="7" t="str">
        <f>'Pregnant Women Participating'!A61</f>
        <v>Chickasaw Nation, OK</v>
      </c>
      <c r="B61" s="13">
        <v>3886</v>
      </c>
      <c r="C61" s="4">
        <v>3771</v>
      </c>
      <c r="D61" s="4">
        <v>3750</v>
      </c>
      <c r="E61" s="4">
        <v>3821</v>
      </c>
      <c r="F61" s="4">
        <v>3720</v>
      </c>
      <c r="G61" s="4">
        <v>3685</v>
      </c>
      <c r="H61" s="4">
        <v>3741</v>
      </c>
      <c r="I61" s="4">
        <v>3753</v>
      </c>
      <c r="J61" s="4">
        <v>3772</v>
      </c>
      <c r="K61" s="4">
        <v>3829</v>
      </c>
      <c r="L61" s="4">
        <v>3861</v>
      </c>
      <c r="M61" s="42">
        <v>3867</v>
      </c>
      <c r="N61" s="13">
        <f t="shared" si="1"/>
        <v>3788</v>
      </c>
    </row>
    <row r="62" spans="1:14" ht="12" customHeight="1" x14ac:dyDescent="0.2">
      <c r="A62" s="7" t="str">
        <f>'Pregnant Women Participating'!A62</f>
        <v>Choctaw Nation, OK</v>
      </c>
      <c r="B62" s="13">
        <v>4909</v>
      </c>
      <c r="C62" s="4">
        <v>4887</v>
      </c>
      <c r="D62" s="4">
        <v>4896</v>
      </c>
      <c r="E62" s="4">
        <v>4843</v>
      </c>
      <c r="F62" s="4">
        <v>4663</v>
      </c>
      <c r="G62" s="4">
        <v>4774</v>
      </c>
      <c r="H62" s="4">
        <v>4785</v>
      </c>
      <c r="I62" s="4">
        <v>4889</v>
      </c>
      <c r="J62" s="4">
        <v>4970</v>
      </c>
      <c r="K62" s="4">
        <v>4965</v>
      </c>
      <c r="L62" s="4">
        <v>4983</v>
      </c>
      <c r="M62" s="42">
        <v>4982</v>
      </c>
      <c r="N62" s="13">
        <f t="shared" si="1"/>
        <v>4878.833333333333</v>
      </c>
    </row>
    <row r="63" spans="1:14" ht="12" customHeight="1" x14ac:dyDescent="0.2">
      <c r="A63" s="7" t="str">
        <f>'Pregnant Women Participating'!A63</f>
        <v>Citizen Potawatomi Nation, OK</v>
      </c>
      <c r="B63" s="13">
        <v>1340</v>
      </c>
      <c r="C63" s="4">
        <v>1299</v>
      </c>
      <c r="D63" s="4">
        <v>1252</v>
      </c>
      <c r="E63" s="4">
        <v>1278</v>
      </c>
      <c r="F63" s="4">
        <v>1252</v>
      </c>
      <c r="G63" s="4">
        <v>1247</v>
      </c>
      <c r="H63" s="4">
        <v>1233</v>
      </c>
      <c r="I63" s="4">
        <v>1245</v>
      </c>
      <c r="J63" s="4">
        <v>1257</v>
      </c>
      <c r="K63" s="4">
        <v>1252</v>
      </c>
      <c r="L63" s="4">
        <v>1259</v>
      </c>
      <c r="M63" s="42">
        <v>1263</v>
      </c>
      <c r="N63" s="13">
        <f t="shared" si="1"/>
        <v>1264.75</v>
      </c>
    </row>
    <row r="64" spans="1:14" ht="12" customHeight="1" x14ac:dyDescent="0.2">
      <c r="A64" s="7" t="str">
        <f>'Pregnant Women Participating'!A64</f>
        <v>Inter-Tribal Council, OK</v>
      </c>
      <c r="B64" s="13">
        <v>601</v>
      </c>
      <c r="C64" s="4">
        <v>576</v>
      </c>
      <c r="D64" s="4">
        <v>591</v>
      </c>
      <c r="E64" s="4">
        <v>634</v>
      </c>
      <c r="F64" s="4">
        <v>602</v>
      </c>
      <c r="G64" s="4">
        <v>612</v>
      </c>
      <c r="H64" s="4">
        <v>620</v>
      </c>
      <c r="I64" s="4">
        <v>624</v>
      </c>
      <c r="J64" s="4">
        <v>640</v>
      </c>
      <c r="K64" s="4">
        <v>638</v>
      </c>
      <c r="L64" s="4">
        <v>645</v>
      </c>
      <c r="M64" s="42">
        <v>645</v>
      </c>
      <c r="N64" s="13">
        <f t="shared" si="1"/>
        <v>619</v>
      </c>
    </row>
    <row r="65" spans="1:14" ht="12" customHeight="1" x14ac:dyDescent="0.2">
      <c r="A65" s="7" t="str">
        <f>'Pregnant Women Participating'!A65</f>
        <v>Muscogee Creek Nation, OK</v>
      </c>
      <c r="B65" s="13">
        <v>2281</v>
      </c>
      <c r="C65" s="4">
        <v>2221</v>
      </c>
      <c r="D65" s="4">
        <v>2208</v>
      </c>
      <c r="E65" s="4">
        <v>2242</v>
      </c>
      <c r="F65" s="4">
        <v>2201</v>
      </c>
      <c r="G65" s="4">
        <v>2209</v>
      </c>
      <c r="H65" s="4">
        <v>2237</v>
      </c>
      <c r="I65" s="4">
        <v>2197</v>
      </c>
      <c r="J65" s="4">
        <v>2210</v>
      </c>
      <c r="K65" s="4">
        <v>2182</v>
      </c>
      <c r="L65" s="4">
        <v>2141</v>
      </c>
      <c r="M65" s="42">
        <v>2083</v>
      </c>
      <c r="N65" s="13">
        <f t="shared" si="1"/>
        <v>2201</v>
      </c>
    </row>
    <row r="66" spans="1:14" ht="12" customHeight="1" x14ac:dyDescent="0.2">
      <c r="A66" s="7" t="str">
        <f>'Pregnant Women Participating'!A66</f>
        <v>Osage Tribal Council, OK</v>
      </c>
      <c r="B66" s="13">
        <v>3317</v>
      </c>
      <c r="C66" s="4">
        <v>3202</v>
      </c>
      <c r="D66" s="4">
        <v>3105</v>
      </c>
      <c r="E66" s="4">
        <v>3152</v>
      </c>
      <c r="F66" s="4">
        <v>3035</v>
      </c>
      <c r="G66" s="4">
        <v>3017</v>
      </c>
      <c r="H66" s="4">
        <v>2987</v>
      </c>
      <c r="I66" s="4">
        <v>2940</v>
      </c>
      <c r="J66" s="4">
        <v>2913</v>
      </c>
      <c r="K66" s="4">
        <v>2855</v>
      </c>
      <c r="L66" s="4">
        <v>2770</v>
      </c>
      <c r="M66" s="42">
        <v>2760</v>
      </c>
      <c r="N66" s="13">
        <f t="shared" si="1"/>
        <v>3004.4166666666665</v>
      </c>
    </row>
    <row r="67" spans="1:14" ht="12" customHeight="1" x14ac:dyDescent="0.2">
      <c r="A67" s="7" t="str">
        <f>'Pregnant Women Participating'!A67</f>
        <v>Otoe-Missouria Tribe, OK</v>
      </c>
      <c r="B67" s="13">
        <v>377</v>
      </c>
      <c r="C67" s="4">
        <v>348</v>
      </c>
      <c r="D67" s="4">
        <v>341</v>
      </c>
      <c r="E67" s="4">
        <v>365</v>
      </c>
      <c r="F67" s="4">
        <v>357</v>
      </c>
      <c r="G67" s="4">
        <v>372</v>
      </c>
      <c r="H67" s="4">
        <v>386</v>
      </c>
      <c r="I67" s="4">
        <v>384</v>
      </c>
      <c r="J67" s="4">
        <v>388</v>
      </c>
      <c r="K67" s="4">
        <v>407</v>
      </c>
      <c r="L67" s="4">
        <v>419</v>
      </c>
      <c r="M67" s="42">
        <v>429</v>
      </c>
      <c r="N67" s="13">
        <f t="shared" si="1"/>
        <v>381.08333333333331</v>
      </c>
    </row>
    <row r="68" spans="1:14" ht="12" customHeight="1" x14ac:dyDescent="0.2">
      <c r="A68" s="7" t="str">
        <f>'Pregnant Women Participating'!A68</f>
        <v>Wichita, Caddo &amp; Delaware (WCD), OK</v>
      </c>
      <c r="B68" s="13">
        <v>3964</v>
      </c>
      <c r="C68" s="4">
        <v>3868</v>
      </c>
      <c r="D68" s="4">
        <v>3857</v>
      </c>
      <c r="E68" s="4">
        <v>3936</v>
      </c>
      <c r="F68" s="4">
        <v>3843</v>
      </c>
      <c r="G68" s="4">
        <v>3895</v>
      </c>
      <c r="H68" s="4">
        <v>3958</v>
      </c>
      <c r="I68" s="4">
        <v>3932</v>
      </c>
      <c r="J68" s="4">
        <v>3962</v>
      </c>
      <c r="K68" s="4">
        <v>3996</v>
      </c>
      <c r="L68" s="4">
        <v>3975</v>
      </c>
      <c r="M68" s="42">
        <v>3969</v>
      </c>
      <c r="N68" s="13">
        <f t="shared" si="1"/>
        <v>3929.5833333333335</v>
      </c>
    </row>
    <row r="69" spans="1:14" s="17" customFormat="1" ht="24.75" customHeight="1" x14ac:dyDescent="0.2">
      <c r="A69" s="14" t="str">
        <f>'Pregnant Women Participating'!A69</f>
        <v>Southwest Region</v>
      </c>
      <c r="B69" s="16">
        <v>1335288</v>
      </c>
      <c r="C69" s="15">
        <v>1315927</v>
      </c>
      <c r="D69" s="15">
        <v>1305546</v>
      </c>
      <c r="E69" s="15">
        <v>1309586</v>
      </c>
      <c r="F69" s="15">
        <v>1308536</v>
      </c>
      <c r="G69" s="15">
        <v>1314429</v>
      </c>
      <c r="H69" s="15">
        <v>1320811</v>
      </c>
      <c r="I69" s="15">
        <v>1324299</v>
      </c>
      <c r="J69" s="15">
        <v>1324934</v>
      </c>
      <c r="K69" s="15">
        <v>1332909</v>
      </c>
      <c r="L69" s="15">
        <v>1332777</v>
      </c>
      <c r="M69" s="41">
        <v>1338740</v>
      </c>
      <c r="N69" s="16">
        <f t="shared" si="1"/>
        <v>1321981.8333333333</v>
      </c>
    </row>
    <row r="70" spans="1:14" ht="12" customHeight="1" x14ac:dyDescent="0.2">
      <c r="A70" s="7" t="str">
        <f>'Pregnant Women Participating'!A70</f>
        <v>Colorado</v>
      </c>
      <c r="B70" s="13">
        <v>95922</v>
      </c>
      <c r="C70" s="4">
        <v>95095</v>
      </c>
      <c r="D70" s="4">
        <v>94913</v>
      </c>
      <c r="E70" s="4">
        <v>95607</v>
      </c>
      <c r="F70" s="4">
        <v>95678</v>
      </c>
      <c r="G70" s="4">
        <v>96099</v>
      </c>
      <c r="H70" s="4">
        <v>96654</v>
      </c>
      <c r="I70" s="4">
        <v>97017</v>
      </c>
      <c r="J70" s="4">
        <v>96311</v>
      </c>
      <c r="K70" s="4">
        <v>96425</v>
      </c>
      <c r="L70" s="4">
        <v>96668</v>
      </c>
      <c r="M70" s="42">
        <v>96852</v>
      </c>
      <c r="N70" s="13">
        <f t="shared" si="1"/>
        <v>96103.416666666672</v>
      </c>
    </row>
    <row r="71" spans="1:14" ht="12" customHeight="1" x14ac:dyDescent="0.2">
      <c r="A71" s="7" t="str">
        <f>'Pregnant Women Participating'!A71</f>
        <v>Kansas</v>
      </c>
      <c r="B71" s="13">
        <v>50068</v>
      </c>
      <c r="C71" s="4">
        <v>48832</v>
      </c>
      <c r="D71" s="4">
        <v>49259</v>
      </c>
      <c r="E71" s="4">
        <v>49616</v>
      </c>
      <c r="F71" s="4">
        <v>48796</v>
      </c>
      <c r="G71" s="4">
        <v>48812</v>
      </c>
      <c r="H71" s="4">
        <v>49207</v>
      </c>
      <c r="I71" s="4">
        <v>49496</v>
      </c>
      <c r="J71" s="4">
        <v>49221</v>
      </c>
      <c r="K71" s="4">
        <v>49748</v>
      </c>
      <c r="L71" s="4">
        <v>49649</v>
      </c>
      <c r="M71" s="42">
        <v>49689</v>
      </c>
      <c r="N71" s="13">
        <f t="shared" si="1"/>
        <v>49366.083333333336</v>
      </c>
    </row>
    <row r="72" spans="1:14" ht="12" customHeight="1" x14ac:dyDescent="0.2">
      <c r="A72" s="7" t="str">
        <f>'Pregnant Women Participating'!A72</f>
        <v>Missouri</v>
      </c>
      <c r="B72" s="13">
        <v>98703</v>
      </c>
      <c r="C72" s="4">
        <v>96614</v>
      </c>
      <c r="D72" s="4">
        <v>95678</v>
      </c>
      <c r="E72" s="4">
        <v>95307</v>
      </c>
      <c r="F72" s="4">
        <v>94181</v>
      </c>
      <c r="G72" s="4">
        <v>94386</v>
      </c>
      <c r="H72" s="4">
        <v>95401</v>
      </c>
      <c r="I72" s="4">
        <v>95738</v>
      </c>
      <c r="J72" s="4">
        <v>96549</v>
      </c>
      <c r="K72" s="4">
        <v>98040</v>
      </c>
      <c r="L72" s="4">
        <v>97844</v>
      </c>
      <c r="M72" s="42">
        <v>98460</v>
      </c>
      <c r="N72" s="13">
        <f t="shared" si="1"/>
        <v>96408.416666666672</v>
      </c>
    </row>
    <row r="73" spans="1:14" ht="12" customHeight="1" x14ac:dyDescent="0.2">
      <c r="A73" s="7" t="str">
        <f>'Pregnant Women Participating'!A73</f>
        <v>Montana</v>
      </c>
      <c r="B73" s="13">
        <v>13396</v>
      </c>
      <c r="C73" s="4">
        <v>13268</v>
      </c>
      <c r="D73" s="4">
        <v>13164</v>
      </c>
      <c r="E73" s="4">
        <v>13310</v>
      </c>
      <c r="F73" s="4">
        <v>13383</v>
      </c>
      <c r="G73" s="4">
        <v>13448</v>
      </c>
      <c r="H73" s="4">
        <v>13530</v>
      </c>
      <c r="I73" s="4">
        <v>13495</v>
      </c>
      <c r="J73" s="4">
        <v>13502</v>
      </c>
      <c r="K73" s="4">
        <v>13469</v>
      </c>
      <c r="L73" s="4">
        <v>13469</v>
      </c>
      <c r="M73" s="42">
        <v>13531</v>
      </c>
      <c r="N73" s="13">
        <f t="shared" si="1"/>
        <v>13413.75</v>
      </c>
    </row>
    <row r="74" spans="1:14" ht="12" customHeight="1" x14ac:dyDescent="0.2">
      <c r="A74" s="7" t="str">
        <f>'Pregnant Women Participating'!A74</f>
        <v>Nebraska</v>
      </c>
      <c r="B74" s="13">
        <v>37717</v>
      </c>
      <c r="C74" s="4">
        <v>37530</v>
      </c>
      <c r="D74" s="4">
        <v>37097</v>
      </c>
      <c r="E74" s="4">
        <v>37135</v>
      </c>
      <c r="F74" s="4">
        <v>36623</v>
      </c>
      <c r="G74" s="4">
        <v>36540</v>
      </c>
      <c r="H74" s="4">
        <v>36697</v>
      </c>
      <c r="I74" s="4">
        <v>36660</v>
      </c>
      <c r="J74" s="4">
        <v>36712</v>
      </c>
      <c r="K74" s="4">
        <v>36796</v>
      </c>
      <c r="L74" s="4">
        <v>36802</v>
      </c>
      <c r="M74" s="42">
        <v>36864</v>
      </c>
      <c r="N74" s="13">
        <f t="shared" si="1"/>
        <v>36931.083333333336</v>
      </c>
    </row>
    <row r="75" spans="1:14" ht="12" customHeight="1" x14ac:dyDescent="0.2">
      <c r="A75" s="7" t="str">
        <f>'Pregnant Women Participating'!A75</f>
        <v>North Dakota</v>
      </c>
      <c r="B75" s="13">
        <v>10247</v>
      </c>
      <c r="C75" s="4">
        <v>10135</v>
      </c>
      <c r="D75" s="4">
        <v>10030</v>
      </c>
      <c r="E75" s="4">
        <v>10137</v>
      </c>
      <c r="F75" s="4">
        <v>10129</v>
      </c>
      <c r="G75" s="4">
        <v>10075</v>
      </c>
      <c r="H75" s="4">
        <v>10116</v>
      </c>
      <c r="I75" s="4">
        <v>10148</v>
      </c>
      <c r="J75" s="4">
        <v>9995</v>
      </c>
      <c r="K75" s="4">
        <v>10251</v>
      </c>
      <c r="L75" s="4">
        <v>10377</v>
      </c>
      <c r="M75" s="42">
        <v>10388</v>
      </c>
      <c r="N75" s="13">
        <f t="shared" si="1"/>
        <v>10169</v>
      </c>
    </row>
    <row r="76" spans="1:14" ht="12" customHeight="1" x14ac:dyDescent="0.2">
      <c r="A76" s="7" t="str">
        <f>'Pregnant Women Participating'!A76</f>
        <v>South Dakota</v>
      </c>
      <c r="B76" s="13">
        <v>13950</v>
      </c>
      <c r="C76" s="4">
        <v>13797</v>
      </c>
      <c r="D76" s="4">
        <v>13782</v>
      </c>
      <c r="E76" s="4">
        <v>13941</v>
      </c>
      <c r="F76" s="4">
        <v>13797</v>
      </c>
      <c r="G76" s="4">
        <v>13883</v>
      </c>
      <c r="H76" s="4">
        <v>13752</v>
      </c>
      <c r="I76" s="4">
        <v>13797</v>
      </c>
      <c r="J76" s="4">
        <v>13735</v>
      </c>
      <c r="K76" s="4">
        <v>13859</v>
      </c>
      <c r="L76" s="4">
        <v>13848</v>
      </c>
      <c r="M76" s="42">
        <v>13947</v>
      </c>
      <c r="N76" s="13">
        <f t="shared" si="1"/>
        <v>13840.666666666666</v>
      </c>
    </row>
    <row r="77" spans="1:14" ht="12" customHeight="1" x14ac:dyDescent="0.2">
      <c r="A77" s="7" t="str">
        <f>'Pregnant Women Participating'!A77</f>
        <v>Wyoming</v>
      </c>
      <c r="B77" s="13">
        <v>7981</v>
      </c>
      <c r="C77" s="4">
        <v>7992</v>
      </c>
      <c r="D77" s="4">
        <v>7904</v>
      </c>
      <c r="E77" s="4">
        <v>7945</v>
      </c>
      <c r="F77" s="4">
        <v>7912</v>
      </c>
      <c r="G77" s="4">
        <v>7921</v>
      </c>
      <c r="H77" s="4">
        <v>7903</v>
      </c>
      <c r="I77" s="4">
        <v>7884</v>
      </c>
      <c r="J77" s="4">
        <v>7912</v>
      </c>
      <c r="K77" s="4">
        <v>7912</v>
      </c>
      <c r="L77" s="4">
        <v>7857</v>
      </c>
      <c r="M77" s="42">
        <v>7755</v>
      </c>
      <c r="N77" s="13">
        <f t="shared" si="1"/>
        <v>7906.5</v>
      </c>
    </row>
    <row r="78" spans="1:14" ht="12" customHeight="1" x14ac:dyDescent="0.2">
      <c r="A78" s="7" t="str">
        <f>'Pregnant Women Participating'!A78</f>
        <v>Ute Mountain Ute Tribe, CO</v>
      </c>
      <c r="B78" s="13">
        <v>146</v>
      </c>
      <c r="C78" s="4">
        <v>151</v>
      </c>
      <c r="D78" s="4">
        <v>157</v>
      </c>
      <c r="E78" s="4">
        <v>152</v>
      </c>
      <c r="F78" s="4">
        <v>152</v>
      </c>
      <c r="G78" s="4">
        <v>154</v>
      </c>
      <c r="H78" s="4">
        <v>148</v>
      </c>
      <c r="I78" s="4">
        <v>142</v>
      </c>
      <c r="J78" s="4">
        <v>133</v>
      </c>
      <c r="K78" s="4">
        <v>150</v>
      </c>
      <c r="L78" s="4">
        <v>142</v>
      </c>
      <c r="M78" s="42">
        <v>144</v>
      </c>
      <c r="N78" s="13">
        <f t="shared" si="1"/>
        <v>147.58333333333334</v>
      </c>
    </row>
    <row r="79" spans="1:14" ht="12" customHeight="1" x14ac:dyDescent="0.2">
      <c r="A79" s="7" t="str">
        <f>'Pregnant Women Participating'!A79</f>
        <v>Omaha Sioux, NE</v>
      </c>
      <c r="B79" s="13">
        <v>237</v>
      </c>
      <c r="C79" s="4">
        <v>237</v>
      </c>
      <c r="D79" s="4">
        <v>233</v>
      </c>
      <c r="E79" s="4">
        <v>235</v>
      </c>
      <c r="F79" s="4">
        <v>228</v>
      </c>
      <c r="G79" s="4">
        <v>220</v>
      </c>
      <c r="H79" s="4">
        <v>215</v>
      </c>
      <c r="I79" s="4">
        <v>214</v>
      </c>
      <c r="J79" s="4">
        <v>216</v>
      </c>
      <c r="K79" s="4">
        <v>223</v>
      </c>
      <c r="L79" s="4">
        <v>222</v>
      </c>
      <c r="M79" s="42">
        <v>203</v>
      </c>
      <c r="N79" s="13">
        <f t="shared" si="1"/>
        <v>223.58333333333334</v>
      </c>
    </row>
    <row r="80" spans="1:14" ht="12" customHeight="1" x14ac:dyDescent="0.2">
      <c r="A80" s="7" t="str">
        <f>'Pregnant Women Participating'!A80</f>
        <v>Santee Sioux, NE</v>
      </c>
      <c r="B80" s="13">
        <v>60</v>
      </c>
      <c r="C80" s="4">
        <v>64</v>
      </c>
      <c r="D80" s="4">
        <v>62</v>
      </c>
      <c r="E80" s="4">
        <v>65</v>
      </c>
      <c r="F80" s="4">
        <v>63</v>
      </c>
      <c r="G80" s="4">
        <v>68</v>
      </c>
      <c r="H80" s="4">
        <v>65</v>
      </c>
      <c r="I80" s="4">
        <v>64</v>
      </c>
      <c r="J80" s="4">
        <v>55</v>
      </c>
      <c r="K80" s="4">
        <v>63</v>
      </c>
      <c r="L80" s="4">
        <v>63</v>
      </c>
      <c r="M80" s="42">
        <v>68</v>
      </c>
      <c r="N80" s="13">
        <f t="shared" si="1"/>
        <v>63.333333333333336</v>
      </c>
    </row>
    <row r="81" spans="1:14" ht="12" customHeight="1" x14ac:dyDescent="0.2">
      <c r="A81" s="7" t="str">
        <f>'Pregnant Women Participating'!A81</f>
        <v>Winnebago Tribe, NE</v>
      </c>
      <c r="B81" s="13">
        <v>127</v>
      </c>
      <c r="C81" s="4">
        <v>120</v>
      </c>
      <c r="D81" s="4">
        <v>114</v>
      </c>
      <c r="E81" s="4">
        <v>107</v>
      </c>
      <c r="F81" s="4">
        <v>108</v>
      </c>
      <c r="G81" s="4">
        <v>100</v>
      </c>
      <c r="H81" s="4">
        <v>99</v>
      </c>
      <c r="I81" s="4">
        <v>127</v>
      </c>
      <c r="J81" s="4">
        <v>125</v>
      </c>
      <c r="K81" s="4">
        <v>122</v>
      </c>
      <c r="L81" s="4">
        <v>135</v>
      </c>
      <c r="M81" s="42">
        <v>136</v>
      </c>
      <c r="N81" s="13">
        <f t="shared" si="1"/>
        <v>118.33333333333333</v>
      </c>
    </row>
    <row r="82" spans="1:14" ht="12" customHeight="1" x14ac:dyDescent="0.2">
      <c r="A82" s="7" t="str">
        <f>'Pregnant Women Participating'!A82</f>
        <v>Standing Rock Sioux Tribe, ND</v>
      </c>
      <c r="B82" s="13">
        <v>235</v>
      </c>
      <c r="C82" s="4">
        <v>229</v>
      </c>
      <c r="D82" s="4">
        <v>220</v>
      </c>
      <c r="E82" s="4">
        <v>223</v>
      </c>
      <c r="F82" s="4">
        <v>218</v>
      </c>
      <c r="G82" s="4">
        <v>216</v>
      </c>
      <c r="H82" s="4">
        <v>221</v>
      </c>
      <c r="I82" s="4">
        <v>202</v>
      </c>
      <c r="J82" s="4">
        <v>206</v>
      </c>
      <c r="K82" s="4">
        <v>186</v>
      </c>
      <c r="L82" s="4">
        <v>238</v>
      </c>
      <c r="M82" s="42">
        <v>248</v>
      </c>
      <c r="N82" s="13">
        <f t="shared" si="1"/>
        <v>220.16666666666666</v>
      </c>
    </row>
    <row r="83" spans="1:14" ht="12" customHeight="1" x14ac:dyDescent="0.2">
      <c r="A83" s="7" t="str">
        <f>'Pregnant Women Participating'!A83</f>
        <v>Three Affiliated Tribes, ND</v>
      </c>
      <c r="B83" s="13">
        <v>96</v>
      </c>
      <c r="C83" s="4">
        <v>92</v>
      </c>
      <c r="D83" s="4">
        <v>87</v>
      </c>
      <c r="E83" s="4">
        <v>82</v>
      </c>
      <c r="F83" s="4">
        <v>79</v>
      </c>
      <c r="G83" s="4">
        <v>83</v>
      </c>
      <c r="H83" s="4">
        <v>92</v>
      </c>
      <c r="I83" s="4">
        <v>100</v>
      </c>
      <c r="J83" s="4">
        <v>95</v>
      </c>
      <c r="K83" s="4">
        <v>98</v>
      </c>
      <c r="L83" s="4">
        <v>100</v>
      </c>
      <c r="M83" s="42">
        <v>91</v>
      </c>
      <c r="N83" s="13">
        <f t="shared" si="1"/>
        <v>91.25</v>
      </c>
    </row>
    <row r="84" spans="1:14" ht="12" customHeight="1" x14ac:dyDescent="0.2">
      <c r="A84" s="7" t="str">
        <f>'Pregnant Women Participating'!A84</f>
        <v>Cheyenne River Sioux, SD</v>
      </c>
      <c r="B84" s="13">
        <v>473</v>
      </c>
      <c r="C84" s="4">
        <v>468</v>
      </c>
      <c r="D84" s="4">
        <v>440</v>
      </c>
      <c r="E84" s="4">
        <v>444</v>
      </c>
      <c r="F84" s="4">
        <v>437</v>
      </c>
      <c r="G84" s="4">
        <v>449</v>
      </c>
      <c r="H84" s="4">
        <v>459</v>
      </c>
      <c r="I84" s="4">
        <v>441</v>
      </c>
      <c r="J84" s="4">
        <v>439</v>
      </c>
      <c r="K84" s="4">
        <v>444</v>
      </c>
      <c r="L84" s="4">
        <v>437</v>
      </c>
      <c r="M84" s="42">
        <v>450</v>
      </c>
      <c r="N84" s="13">
        <f t="shared" si="1"/>
        <v>448.41666666666669</v>
      </c>
    </row>
    <row r="85" spans="1:14" ht="12" customHeight="1" x14ac:dyDescent="0.2">
      <c r="A85" s="7" t="str">
        <f>'Pregnant Women Participating'!A85</f>
        <v>Rosebud Sioux, SD</v>
      </c>
      <c r="B85" s="13">
        <v>862</v>
      </c>
      <c r="C85" s="4">
        <v>824</v>
      </c>
      <c r="D85" s="4">
        <v>790</v>
      </c>
      <c r="E85" s="4">
        <v>763</v>
      </c>
      <c r="F85" s="4">
        <v>735</v>
      </c>
      <c r="G85" s="4">
        <v>743</v>
      </c>
      <c r="H85" s="4">
        <v>769</v>
      </c>
      <c r="I85" s="4">
        <v>778</v>
      </c>
      <c r="J85" s="4">
        <v>782</v>
      </c>
      <c r="K85" s="4">
        <v>808</v>
      </c>
      <c r="L85" s="4">
        <v>812</v>
      </c>
      <c r="M85" s="42">
        <v>828</v>
      </c>
      <c r="N85" s="13">
        <f t="shared" si="1"/>
        <v>791.16666666666663</v>
      </c>
    </row>
    <row r="86" spans="1:14" ht="12" customHeight="1" x14ac:dyDescent="0.2">
      <c r="A86" s="7" t="str">
        <f>'Pregnant Women Participating'!A86</f>
        <v>Northern Arapahoe, WY</v>
      </c>
      <c r="B86" s="13">
        <v>213</v>
      </c>
      <c r="C86" s="4">
        <v>209</v>
      </c>
      <c r="D86" s="4">
        <v>208</v>
      </c>
      <c r="E86" s="4">
        <v>209</v>
      </c>
      <c r="F86" s="4">
        <v>203</v>
      </c>
      <c r="G86" s="4">
        <v>194</v>
      </c>
      <c r="H86" s="4">
        <v>202</v>
      </c>
      <c r="I86" s="4">
        <v>199</v>
      </c>
      <c r="J86" s="4">
        <v>213</v>
      </c>
      <c r="K86" s="4">
        <v>219</v>
      </c>
      <c r="L86" s="4">
        <v>213</v>
      </c>
      <c r="M86" s="42">
        <v>214</v>
      </c>
      <c r="N86" s="13">
        <f t="shared" si="1"/>
        <v>208</v>
      </c>
    </row>
    <row r="87" spans="1:14" ht="12" customHeight="1" x14ac:dyDescent="0.2">
      <c r="A87" s="7" t="str">
        <f>'Pregnant Women Participating'!A87</f>
        <v>Shoshone Tribe, WY</v>
      </c>
      <c r="B87" s="13">
        <v>92</v>
      </c>
      <c r="C87" s="4">
        <v>82</v>
      </c>
      <c r="D87" s="4">
        <v>85</v>
      </c>
      <c r="E87" s="4">
        <v>87</v>
      </c>
      <c r="F87" s="4">
        <v>83</v>
      </c>
      <c r="G87" s="4">
        <v>83</v>
      </c>
      <c r="H87" s="4">
        <v>94</v>
      </c>
      <c r="I87" s="4">
        <v>95</v>
      </c>
      <c r="J87" s="4">
        <v>102</v>
      </c>
      <c r="K87" s="4">
        <v>106</v>
      </c>
      <c r="L87" s="4">
        <v>101</v>
      </c>
      <c r="M87" s="42">
        <v>106</v>
      </c>
      <c r="N87" s="13">
        <f t="shared" si="1"/>
        <v>93</v>
      </c>
    </row>
    <row r="88" spans="1:14" s="17" customFormat="1" ht="24.75" customHeight="1" x14ac:dyDescent="0.2">
      <c r="A88" s="14" t="str">
        <f>'Pregnant Women Participating'!A88</f>
        <v>Mountain Plains</v>
      </c>
      <c r="B88" s="16">
        <v>330525</v>
      </c>
      <c r="C88" s="15">
        <v>325739</v>
      </c>
      <c r="D88" s="15">
        <v>324223</v>
      </c>
      <c r="E88" s="15">
        <v>325365</v>
      </c>
      <c r="F88" s="15">
        <v>322805</v>
      </c>
      <c r="G88" s="15">
        <v>323474</v>
      </c>
      <c r="H88" s="15">
        <v>325624</v>
      </c>
      <c r="I88" s="15">
        <v>326597</v>
      </c>
      <c r="J88" s="15">
        <v>326303</v>
      </c>
      <c r="K88" s="15">
        <v>328919</v>
      </c>
      <c r="L88" s="15">
        <v>328977</v>
      </c>
      <c r="M88" s="41">
        <v>329974</v>
      </c>
      <c r="N88" s="16">
        <f t="shared" si="1"/>
        <v>326543.75</v>
      </c>
    </row>
    <row r="89" spans="1:14" ht="12" customHeight="1" x14ac:dyDescent="0.2">
      <c r="A89" s="8" t="str">
        <f>'Pregnant Women Participating'!A89</f>
        <v>Alaska</v>
      </c>
      <c r="B89" s="13">
        <v>14508</v>
      </c>
      <c r="C89" s="4">
        <v>14328</v>
      </c>
      <c r="D89" s="4">
        <v>14133</v>
      </c>
      <c r="E89" s="4">
        <v>14205</v>
      </c>
      <c r="F89" s="4">
        <v>14125</v>
      </c>
      <c r="G89" s="4">
        <v>14143</v>
      </c>
      <c r="H89" s="4">
        <v>14079</v>
      </c>
      <c r="I89" s="4">
        <v>14029</v>
      </c>
      <c r="J89" s="4">
        <v>13913</v>
      </c>
      <c r="K89" s="4">
        <v>13774</v>
      </c>
      <c r="L89" s="4">
        <v>13659</v>
      </c>
      <c r="M89" s="42">
        <v>13548</v>
      </c>
      <c r="N89" s="13">
        <f t="shared" si="1"/>
        <v>14037</v>
      </c>
    </row>
    <row r="90" spans="1:14" ht="12" customHeight="1" x14ac:dyDescent="0.2">
      <c r="A90" s="8" t="str">
        <f>'Pregnant Women Participating'!A90</f>
        <v>American Samoa</v>
      </c>
      <c r="B90" s="13">
        <v>4035</v>
      </c>
      <c r="C90" s="4">
        <v>3992</v>
      </c>
      <c r="D90" s="4">
        <v>3988</v>
      </c>
      <c r="E90" s="4">
        <v>3964</v>
      </c>
      <c r="F90" s="4">
        <v>3924</v>
      </c>
      <c r="G90" s="4">
        <v>3939</v>
      </c>
      <c r="H90" s="4">
        <v>3908</v>
      </c>
      <c r="I90" s="4">
        <v>3908</v>
      </c>
      <c r="J90" s="4">
        <v>3915</v>
      </c>
      <c r="K90" s="4">
        <v>3987</v>
      </c>
      <c r="L90" s="4">
        <v>3961</v>
      </c>
      <c r="M90" s="42">
        <v>3925</v>
      </c>
      <c r="N90" s="13">
        <f t="shared" si="1"/>
        <v>3953.8333333333335</v>
      </c>
    </row>
    <row r="91" spans="1:14" ht="12" customHeight="1" x14ac:dyDescent="0.2">
      <c r="A91" s="8" t="str">
        <f>'Pregnant Women Participating'!A91</f>
        <v>California</v>
      </c>
      <c r="B91" s="13">
        <v>1010777</v>
      </c>
      <c r="C91" s="4">
        <v>1001616</v>
      </c>
      <c r="D91" s="4">
        <v>998317</v>
      </c>
      <c r="E91" s="4">
        <v>1004798</v>
      </c>
      <c r="F91" s="4">
        <v>1001399</v>
      </c>
      <c r="G91" s="4">
        <v>1006386</v>
      </c>
      <c r="H91" s="4">
        <v>1008052</v>
      </c>
      <c r="I91" s="4">
        <v>1005293</v>
      </c>
      <c r="J91" s="4">
        <v>1002332</v>
      </c>
      <c r="K91" s="4">
        <v>1006101</v>
      </c>
      <c r="L91" s="4">
        <v>1001145</v>
      </c>
      <c r="M91" s="42">
        <v>999500</v>
      </c>
      <c r="N91" s="13">
        <f t="shared" si="1"/>
        <v>1003809.6666666666</v>
      </c>
    </row>
    <row r="92" spans="1:14" ht="12" customHeight="1" x14ac:dyDescent="0.2">
      <c r="A92" s="8" t="str">
        <f>'Pregnant Women Participating'!A92</f>
        <v>Guam</v>
      </c>
      <c r="B92" s="13">
        <v>6519</v>
      </c>
      <c r="C92" s="4">
        <v>6436</v>
      </c>
      <c r="D92" s="4">
        <v>6373</v>
      </c>
      <c r="E92" s="4">
        <v>6426</v>
      </c>
      <c r="F92" s="4">
        <v>6435</v>
      </c>
      <c r="G92" s="4">
        <v>6434</v>
      </c>
      <c r="H92" s="4">
        <v>6374</v>
      </c>
      <c r="I92" s="4">
        <v>6326</v>
      </c>
      <c r="J92" s="4">
        <v>6244</v>
      </c>
      <c r="K92" s="4">
        <v>6228</v>
      </c>
      <c r="L92" s="4">
        <v>6134</v>
      </c>
      <c r="M92" s="42">
        <v>6203</v>
      </c>
      <c r="N92" s="13">
        <f t="shared" si="1"/>
        <v>6344.333333333333</v>
      </c>
    </row>
    <row r="93" spans="1:14" ht="12" customHeight="1" x14ac:dyDescent="0.2">
      <c r="A93" s="8" t="str">
        <f>'Pregnant Women Participating'!A93</f>
        <v>Hawaii</v>
      </c>
      <c r="B93" s="13">
        <v>25648</v>
      </c>
      <c r="C93" s="4">
        <v>25144</v>
      </c>
      <c r="D93" s="4">
        <v>24915</v>
      </c>
      <c r="E93" s="4">
        <v>25180</v>
      </c>
      <c r="F93" s="4">
        <v>25010</v>
      </c>
      <c r="G93" s="4">
        <v>24931</v>
      </c>
      <c r="H93" s="4">
        <v>24904</v>
      </c>
      <c r="I93" s="4">
        <v>24881</v>
      </c>
      <c r="J93" s="4">
        <v>24827</v>
      </c>
      <c r="K93" s="4">
        <v>25365</v>
      </c>
      <c r="L93" s="4">
        <v>25137</v>
      </c>
      <c r="M93" s="42">
        <v>25387</v>
      </c>
      <c r="N93" s="13">
        <f t="shared" si="1"/>
        <v>25110.75</v>
      </c>
    </row>
    <row r="94" spans="1:14" ht="12" customHeight="1" x14ac:dyDescent="0.2">
      <c r="A94" s="8" t="str">
        <f>'Pregnant Women Participating'!A94</f>
        <v>Idaho</v>
      </c>
      <c r="B94" s="13">
        <v>32380</v>
      </c>
      <c r="C94" s="4">
        <v>32200</v>
      </c>
      <c r="D94" s="4">
        <v>32162</v>
      </c>
      <c r="E94" s="4">
        <v>32259</v>
      </c>
      <c r="F94" s="4">
        <v>32274</v>
      </c>
      <c r="G94" s="4">
        <v>32589</v>
      </c>
      <c r="H94" s="4">
        <v>32589</v>
      </c>
      <c r="I94" s="4">
        <v>32460</v>
      </c>
      <c r="J94" s="4">
        <v>32300</v>
      </c>
      <c r="K94" s="4">
        <v>32630</v>
      </c>
      <c r="L94" s="4">
        <v>32540</v>
      </c>
      <c r="M94" s="42">
        <v>32449</v>
      </c>
      <c r="N94" s="13">
        <f t="shared" si="1"/>
        <v>32402.666666666668</v>
      </c>
    </row>
    <row r="95" spans="1:14" ht="12" customHeight="1" x14ac:dyDescent="0.2">
      <c r="A95" s="8" t="str">
        <f>'Pregnant Women Participating'!A95</f>
        <v>Nevada</v>
      </c>
      <c r="B95" s="13">
        <v>56100</v>
      </c>
      <c r="C95" s="4">
        <v>55317</v>
      </c>
      <c r="D95" s="4">
        <v>55038</v>
      </c>
      <c r="E95" s="4">
        <v>55393</v>
      </c>
      <c r="F95" s="4">
        <v>54930</v>
      </c>
      <c r="G95" s="4">
        <v>55004</v>
      </c>
      <c r="H95" s="4">
        <v>55299</v>
      </c>
      <c r="I95" s="4">
        <v>55458</v>
      </c>
      <c r="J95" s="4">
        <v>55245</v>
      </c>
      <c r="K95" s="4">
        <v>55572</v>
      </c>
      <c r="L95" s="4">
        <v>55680</v>
      </c>
      <c r="M95" s="42">
        <v>55854</v>
      </c>
      <c r="N95" s="13">
        <f t="shared" si="1"/>
        <v>55407.5</v>
      </c>
    </row>
    <row r="96" spans="1:14" ht="12" customHeight="1" x14ac:dyDescent="0.2">
      <c r="A96" s="8" t="str">
        <f>'Pregnant Women Participating'!A96</f>
        <v>Oregon</v>
      </c>
      <c r="B96" s="13">
        <v>80756</v>
      </c>
      <c r="C96" s="4">
        <v>80107</v>
      </c>
      <c r="D96" s="4">
        <v>80099</v>
      </c>
      <c r="E96" s="4">
        <v>81074</v>
      </c>
      <c r="F96" s="4">
        <v>80618</v>
      </c>
      <c r="G96" s="4">
        <v>80958</v>
      </c>
      <c r="H96" s="4">
        <v>81134</v>
      </c>
      <c r="I96" s="4">
        <v>81354</v>
      </c>
      <c r="J96" s="4">
        <v>81625</v>
      </c>
      <c r="K96" s="4">
        <v>82653</v>
      </c>
      <c r="L96" s="4">
        <v>82807</v>
      </c>
      <c r="M96" s="42">
        <v>83597</v>
      </c>
      <c r="N96" s="13">
        <f t="shared" si="1"/>
        <v>81398.5</v>
      </c>
    </row>
    <row r="97" spans="1:14" ht="12" customHeight="1" x14ac:dyDescent="0.2">
      <c r="A97" s="8" t="str">
        <f>'Pregnant Women Participating'!A97</f>
        <v>Washington</v>
      </c>
      <c r="B97" s="13">
        <v>138901</v>
      </c>
      <c r="C97" s="4">
        <v>137959</v>
      </c>
      <c r="D97" s="4">
        <v>138313</v>
      </c>
      <c r="E97" s="4">
        <v>140929</v>
      </c>
      <c r="F97" s="4">
        <v>140967</v>
      </c>
      <c r="G97" s="4">
        <v>142593</v>
      </c>
      <c r="H97" s="4">
        <v>143173</v>
      </c>
      <c r="I97" s="4">
        <v>143484</v>
      </c>
      <c r="J97" s="4">
        <v>142484</v>
      </c>
      <c r="K97" s="4">
        <v>142999</v>
      </c>
      <c r="L97" s="4">
        <v>142238</v>
      </c>
      <c r="M97" s="42">
        <v>142493</v>
      </c>
      <c r="N97" s="13">
        <f t="shared" si="1"/>
        <v>141377.75</v>
      </c>
    </row>
    <row r="98" spans="1:14" ht="12" customHeight="1" x14ac:dyDescent="0.2">
      <c r="A98" s="8" t="str">
        <f>'Pregnant Women Participating'!A98</f>
        <v>Northern Marianas</v>
      </c>
      <c r="B98" s="13">
        <v>2656</v>
      </c>
      <c r="C98" s="4">
        <v>2624</v>
      </c>
      <c r="D98" s="4">
        <v>2662</v>
      </c>
      <c r="E98" s="4">
        <v>2674</v>
      </c>
      <c r="F98" s="4">
        <v>2627</v>
      </c>
      <c r="G98" s="4">
        <v>2621</v>
      </c>
      <c r="H98" s="4">
        <v>2622</v>
      </c>
      <c r="I98" s="4">
        <v>2588</v>
      </c>
      <c r="J98" s="4">
        <v>2506</v>
      </c>
      <c r="K98" s="4">
        <v>2521</v>
      </c>
      <c r="L98" s="4">
        <v>2502</v>
      </c>
      <c r="M98" s="42">
        <v>2493</v>
      </c>
      <c r="N98" s="13">
        <f t="shared" si="1"/>
        <v>2591.3333333333335</v>
      </c>
    </row>
    <row r="99" spans="1:14" ht="12" customHeight="1" x14ac:dyDescent="0.2">
      <c r="A99" s="8" t="str">
        <f>'Pregnant Women Participating'!A99</f>
        <v>Inter-Tribal Council, NV</v>
      </c>
      <c r="B99" s="13">
        <v>426</v>
      </c>
      <c r="C99" s="4">
        <v>419</v>
      </c>
      <c r="D99" s="4">
        <v>425</v>
      </c>
      <c r="E99" s="4">
        <v>442</v>
      </c>
      <c r="F99" s="4">
        <v>451</v>
      </c>
      <c r="G99" s="4">
        <v>452</v>
      </c>
      <c r="H99" s="4">
        <v>479</v>
      </c>
      <c r="I99" s="4">
        <v>477</v>
      </c>
      <c r="J99" s="4">
        <v>462</v>
      </c>
      <c r="K99" s="4">
        <v>469</v>
      </c>
      <c r="L99" s="4">
        <v>471</v>
      </c>
      <c r="M99" s="42">
        <v>440</v>
      </c>
      <c r="N99" s="13">
        <f t="shared" si="1"/>
        <v>451.08333333333331</v>
      </c>
    </row>
    <row r="100" spans="1:14" s="17" customFormat="1" ht="24.75" customHeight="1" x14ac:dyDescent="0.2">
      <c r="A100" s="14" t="str">
        <f>'Pregnant Women Participating'!A100</f>
        <v>Western Region</v>
      </c>
      <c r="B100" s="16">
        <v>1372706</v>
      </c>
      <c r="C100" s="15">
        <v>1360142</v>
      </c>
      <c r="D100" s="15">
        <v>1356425</v>
      </c>
      <c r="E100" s="15">
        <v>1367344</v>
      </c>
      <c r="F100" s="15">
        <v>1362760</v>
      </c>
      <c r="G100" s="15">
        <v>1370050</v>
      </c>
      <c r="H100" s="15">
        <v>1372613</v>
      </c>
      <c r="I100" s="15">
        <v>1370258</v>
      </c>
      <c r="J100" s="15">
        <v>1365853</v>
      </c>
      <c r="K100" s="15">
        <v>1372299</v>
      </c>
      <c r="L100" s="15">
        <v>1366274</v>
      </c>
      <c r="M100" s="41">
        <v>1365889</v>
      </c>
      <c r="N100" s="16">
        <f t="shared" si="1"/>
        <v>1366884.4166666667</v>
      </c>
    </row>
    <row r="101" spans="1:14" s="25" customFormat="1" ht="16.5" customHeight="1" thickBot="1" x14ac:dyDescent="0.25">
      <c r="A101" s="22" t="str">
        <f>'Pregnant Women Participating'!A101</f>
        <v>TOTAL</v>
      </c>
      <c r="B101" s="23">
        <v>6907747</v>
      </c>
      <c r="C101" s="24">
        <v>6829501</v>
      </c>
      <c r="D101" s="24">
        <v>6784735</v>
      </c>
      <c r="E101" s="24">
        <v>6822876</v>
      </c>
      <c r="F101" s="24">
        <v>6802175</v>
      </c>
      <c r="G101" s="24">
        <v>6850836</v>
      </c>
      <c r="H101" s="24">
        <v>6877215</v>
      </c>
      <c r="I101" s="24">
        <v>6894610</v>
      </c>
      <c r="J101" s="24">
        <v>6883200</v>
      </c>
      <c r="K101" s="24">
        <v>6923325</v>
      </c>
      <c r="L101" s="24">
        <v>6911108</v>
      </c>
      <c r="M101" s="43">
        <v>6921686</v>
      </c>
      <c r="N101" s="23">
        <f t="shared" si="1"/>
        <v>6867417.833333333</v>
      </c>
    </row>
    <row r="102" spans="1:14" ht="12.75" customHeight="1" thickTop="1" x14ac:dyDescent="0.2">
      <c r="A102" s="9"/>
    </row>
    <row r="103" spans="1:14" x14ac:dyDescent="0.2">
      <c r="A103" s="9"/>
    </row>
    <row r="104" spans="1:14" s="27" customFormat="1" ht="12.75" x14ac:dyDescent="0.2">
      <c r="A104" s="26" t="s">
        <v>1</v>
      </c>
    </row>
  </sheetData>
  <phoneticPr fontId="1" type="noConversion"/>
  <pageMargins left="0.5" right="0.5" top="0.5" bottom="0.5" header="0.5" footer="0.3"/>
  <pageSetup scale="91" fitToHeight="0" orientation="landscape" r:id="rId1"/>
  <headerFooter alignWithMargins="0">
    <oddFooter>&amp;L&amp;6Source: National Data Bank, USDA/Food and Nutrition Service&amp;C&amp;6Page &amp;P of &amp;N&amp;R&amp;6Printed on: &amp;D &amp;T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1">
    <pageSetUpPr fitToPage="1"/>
  </sheetPr>
  <dimension ref="A1:B104"/>
  <sheetViews>
    <sheetView showGridLines="0" workbookViewId="0"/>
  </sheetViews>
  <sheetFormatPr defaultColWidth="9.140625" defaultRowHeight="12" x14ac:dyDescent="0.2"/>
  <cols>
    <col min="1" max="1" width="34.7109375" style="3" customWidth="1"/>
    <col min="2" max="2" width="19.7109375" style="3" customWidth="1"/>
    <col min="3" max="16384" width="9.140625" style="3"/>
  </cols>
  <sheetData>
    <row r="1" spans="1:2" ht="12" customHeight="1" x14ac:dyDescent="0.2">
      <c r="A1" s="10" t="s">
        <v>3</v>
      </c>
      <c r="B1" s="2"/>
    </row>
    <row r="2" spans="1:2" ht="12" customHeight="1" x14ac:dyDescent="0.2">
      <c r="A2" s="10" t="str">
        <f>'Pregnant Women Participating'!A2</f>
        <v>FISCAL YEAR 2025</v>
      </c>
      <c r="B2" s="2"/>
    </row>
    <row r="3" spans="1:2" ht="12" customHeight="1" x14ac:dyDescent="0.2">
      <c r="A3" s="1" t="str">
        <f>'Pregnant Women Participating'!A3</f>
        <v>Data as of October 09, 2026</v>
      </c>
      <c r="B3" s="2"/>
    </row>
    <row r="4" spans="1:2" ht="12" customHeight="1" x14ac:dyDescent="0.2">
      <c r="A4" s="2"/>
      <c r="B4" s="21"/>
    </row>
    <row r="5" spans="1:2" ht="24" customHeight="1" x14ac:dyDescent="0.2">
      <c r="A5" s="6" t="s">
        <v>0</v>
      </c>
      <c r="B5" s="11" t="s">
        <v>138</v>
      </c>
    </row>
    <row r="6" spans="1:2" ht="12" customHeight="1" x14ac:dyDescent="0.2">
      <c r="A6" s="7" t="str">
        <f>'Pregnant Women Participating'!A6</f>
        <v>Connecticut</v>
      </c>
      <c r="B6" s="4">
        <v>15472160</v>
      </c>
    </row>
    <row r="7" spans="1:2" ht="12" customHeight="1" x14ac:dyDescent="0.2">
      <c r="A7" s="7" t="str">
        <f>'Pregnant Women Participating'!A7</f>
        <v>Maine</v>
      </c>
      <c r="B7" s="4">
        <v>7682153</v>
      </c>
    </row>
    <row r="8" spans="1:2" ht="12" customHeight="1" x14ac:dyDescent="0.2">
      <c r="A8" s="7" t="str">
        <f>'Pregnant Women Participating'!A8</f>
        <v>Massachusetts</v>
      </c>
      <c r="B8" s="4">
        <v>32804346</v>
      </c>
    </row>
    <row r="9" spans="1:2" ht="12" customHeight="1" x14ac:dyDescent="0.2">
      <c r="A9" s="7" t="str">
        <f>'Pregnant Women Participating'!A9</f>
        <v>New Hampshire</v>
      </c>
      <c r="B9" s="4">
        <v>4428883</v>
      </c>
    </row>
    <row r="10" spans="1:2" ht="12" customHeight="1" x14ac:dyDescent="0.2">
      <c r="A10" s="7" t="str">
        <f>'Pregnant Women Participating'!A10</f>
        <v>New York</v>
      </c>
      <c r="B10" s="4">
        <v>160676490</v>
      </c>
    </row>
    <row r="11" spans="1:2" ht="12" customHeight="1" x14ac:dyDescent="0.2">
      <c r="A11" s="7" t="str">
        <f>'Pregnant Women Participating'!A11</f>
        <v>Rhode Island</v>
      </c>
      <c r="B11" s="4">
        <v>6926594</v>
      </c>
    </row>
    <row r="12" spans="1:2" ht="12" customHeight="1" x14ac:dyDescent="0.2">
      <c r="A12" s="7" t="str">
        <f>'Pregnant Women Participating'!A12</f>
        <v>Vermont</v>
      </c>
      <c r="B12" s="4">
        <v>6003291</v>
      </c>
    </row>
    <row r="13" spans="1:2" ht="12" customHeight="1" x14ac:dyDescent="0.2">
      <c r="A13" s="7" t="str">
        <f>'Pregnant Women Participating'!A13</f>
        <v>Virgin Islands</v>
      </c>
      <c r="B13" s="4">
        <v>2016233</v>
      </c>
    </row>
    <row r="14" spans="1:2" ht="12" customHeight="1" x14ac:dyDescent="0.2">
      <c r="A14" s="7" t="str">
        <f>'Pregnant Women Participating'!A14</f>
        <v>Pleasant Point, ME</v>
      </c>
      <c r="B14" s="4">
        <v>72924</v>
      </c>
    </row>
    <row r="15" spans="1:2" s="17" customFormat="1" ht="24.75" customHeight="1" x14ac:dyDescent="0.2">
      <c r="A15" s="14" t="str">
        <f>'Pregnant Women Participating'!A15</f>
        <v>Northeast Region</v>
      </c>
      <c r="B15" s="15">
        <v>236083074</v>
      </c>
    </row>
    <row r="16" spans="1:2" ht="12" customHeight="1" x14ac:dyDescent="0.2">
      <c r="A16" s="7" t="str">
        <f>'Pregnant Women Participating'!A16</f>
        <v>Delaware</v>
      </c>
      <c r="B16" s="4">
        <v>6215387</v>
      </c>
    </row>
    <row r="17" spans="1:2" ht="12" customHeight="1" x14ac:dyDescent="0.2">
      <c r="A17" s="7" t="str">
        <f>'Pregnant Women Participating'!A17</f>
        <v>District of Columbia</v>
      </c>
      <c r="B17" s="4">
        <v>6400073</v>
      </c>
    </row>
    <row r="18" spans="1:2" ht="12" customHeight="1" x14ac:dyDescent="0.2">
      <c r="A18" s="7" t="str">
        <f>'Pregnant Women Participating'!A18</f>
        <v>Maryland</v>
      </c>
      <c r="B18" s="4">
        <v>41442754</v>
      </c>
    </row>
    <row r="19" spans="1:2" ht="12" customHeight="1" x14ac:dyDescent="0.2">
      <c r="A19" s="7" t="str">
        <f>'Pregnant Women Participating'!A19</f>
        <v>New Jersey</v>
      </c>
      <c r="B19" s="4">
        <v>45268499</v>
      </c>
    </row>
    <row r="20" spans="1:2" ht="12" customHeight="1" x14ac:dyDescent="0.2">
      <c r="A20" s="7" t="str">
        <f>'Pregnant Women Participating'!A20</f>
        <v>Pennsylvania</v>
      </c>
      <c r="B20" s="4">
        <v>64331849</v>
      </c>
    </row>
    <row r="21" spans="1:2" ht="12" customHeight="1" x14ac:dyDescent="0.2">
      <c r="A21" s="7" t="str">
        <f>'Pregnant Women Participating'!A21</f>
        <v>Puerto Rico</v>
      </c>
      <c r="B21" s="4">
        <v>38103407</v>
      </c>
    </row>
    <row r="22" spans="1:2" ht="12" customHeight="1" x14ac:dyDescent="0.2">
      <c r="A22" s="7" t="str">
        <f>'Pregnant Women Participating'!A22</f>
        <v>Virginia</v>
      </c>
      <c r="B22" s="4">
        <v>35852686</v>
      </c>
    </row>
    <row r="23" spans="1:2" ht="12" customHeight="1" x14ac:dyDescent="0.2">
      <c r="A23" s="7" t="str">
        <f>'Pregnant Women Participating'!A23</f>
        <v>West Virginia</v>
      </c>
      <c r="B23" s="4">
        <v>16179045</v>
      </c>
    </row>
    <row r="24" spans="1:2" s="17" customFormat="1" ht="24.75" customHeight="1" x14ac:dyDescent="0.2">
      <c r="A24" s="14" t="str">
        <f>'Pregnant Women Participating'!A24</f>
        <v>Mid-Atlantic Region</v>
      </c>
      <c r="B24" s="15">
        <v>253793700</v>
      </c>
    </row>
    <row r="25" spans="1:2" ht="12" customHeight="1" x14ac:dyDescent="0.2">
      <c r="A25" s="7" t="str">
        <f>'Pregnant Women Participating'!A25</f>
        <v>Alabama</v>
      </c>
      <c r="B25" s="4">
        <v>31608052</v>
      </c>
    </row>
    <row r="26" spans="1:2" ht="12" customHeight="1" x14ac:dyDescent="0.2">
      <c r="A26" s="7" t="str">
        <f>'Pregnant Women Participating'!A26</f>
        <v>Florida</v>
      </c>
      <c r="B26" s="4">
        <v>129197031</v>
      </c>
    </row>
    <row r="27" spans="1:2" ht="12" customHeight="1" x14ac:dyDescent="0.2">
      <c r="A27" s="7" t="str">
        <f>'Pregnant Women Participating'!A27</f>
        <v>Georgia</v>
      </c>
      <c r="B27" s="4">
        <v>70715647</v>
      </c>
    </row>
    <row r="28" spans="1:2" ht="12" customHeight="1" x14ac:dyDescent="0.2">
      <c r="A28" s="7" t="str">
        <f>'Pregnant Women Participating'!A28</f>
        <v>Kentucky</v>
      </c>
      <c r="B28" s="4">
        <v>31599970</v>
      </c>
    </row>
    <row r="29" spans="1:2" ht="12" customHeight="1" x14ac:dyDescent="0.2">
      <c r="A29" s="7" t="str">
        <f>'Pregnant Women Participating'!A29</f>
        <v>Mississippi</v>
      </c>
      <c r="B29" s="4">
        <v>18057428</v>
      </c>
    </row>
    <row r="30" spans="1:2" ht="12" customHeight="1" x14ac:dyDescent="0.2">
      <c r="A30" s="7" t="str">
        <f>'Pregnant Women Participating'!A30</f>
        <v>North Carolina</v>
      </c>
      <c r="B30" s="4">
        <v>59930242</v>
      </c>
    </row>
    <row r="31" spans="1:2" ht="12" customHeight="1" x14ac:dyDescent="0.2">
      <c r="A31" s="7" t="str">
        <f>'Pregnant Women Participating'!A31</f>
        <v>South Carolina</v>
      </c>
      <c r="B31" s="4">
        <v>30938131</v>
      </c>
    </row>
    <row r="32" spans="1:2" ht="12" customHeight="1" x14ac:dyDescent="0.2">
      <c r="A32" s="7" t="str">
        <f>'Pregnant Women Participating'!A32</f>
        <v>Tennessee</v>
      </c>
      <c r="B32" s="4">
        <v>53920554</v>
      </c>
    </row>
    <row r="33" spans="1:2" ht="12" customHeight="1" x14ac:dyDescent="0.2">
      <c r="A33" s="7" t="str">
        <f>'Pregnant Women Participating'!A33</f>
        <v>Choctaw Indians, MS</v>
      </c>
      <c r="B33" s="4">
        <v>532503</v>
      </c>
    </row>
    <row r="34" spans="1:2" ht="12" customHeight="1" x14ac:dyDescent="0.2">
      <c r="A34" s="7" t="str">
        <f>'Pregnant Women Participating'!A34</f>
        <v>Eastern Cherokee, NC</v>
      </c>
      <c r="B34" s="4">
        <v>401260</v>
      </c>
    </row>
    <row r="35" spans="1:2" s="17" customFormat="1" ht="24.75" customHeight="1" x14ac:dyDescent="0.2">
      <c r="A35" s="14" t="str">
        <f>'Pregnant Women Participating'!A35</f>
        <v>Southeast Region</v>
      </c>
      <c r="B35" s="15">
        <v>426900818</v>
      </c>
    </row>
    <row r="36" spans="1:2" ht="12" customHeight="1" x14ac:dyDescent="0.2">
      <c r="A36" s="7" t="str">
        <f>'Pregnant Women Participating'!A36</f>
        <v>Illinois</v>
      </c>
      <c r="B36" s="4">
        <v>57957938</v>
      </c>
    </row>
    <row r="37" spans="1:2" ht="12" customHeight="1" x14ac:dyDescent="0.2">
      <c r="A37" s="7" t="str">
        <f>'Pregnant Women Participating'!A37</f>
        <v>Indiana</v>
      </c>
      <c r="B37" s="4">
        <v>46652677</v>
      </c>
    </row>
    <row r="38" spans="1:2" ht="12" customHeight="1" x14ac:dyDescent="0.2">
      <c r="A38" s="7" t="str">
        <f>'Pregnant Women Participating'!A38</f>
        <v>Iowa</v>
      </c>
      <c r="B38" s="4">
        <v>18809858</v>
      </c>
    </row>
    <row r="39" spans="1:2" ht="12" customHeight="1" x14ac:dyDescent="0.2">
      <c r="A39" s="7" t="str">
        <f>'Pregnant Women Participating'!A39</f>
        <v>Michigan</v>
      </c>
      <c r="B39" s="4">
        <v>64476010</v>
      </c>
    </row>
    <row r="40" spans="1:2" ht="12" customHeight="1" x14ac:dyDescent="0.2">
      <c r="A40" s="7" t="str">
        <f>'Pregnant Women Participating'!A40</f>
        <v>Minnesota</v>
      </c>
      <c r="B40" s="4">
        <v>37960968</v>
      </c>
    </row>
    <row r="41" spans="1:2" ht="12" customHeight="1" x14ac:dyDescent="0.2">
      <c r="A41" s="7" t="str">
        <f>'Pregnant Women Participating'!A41</f>
        <v>Ohio</v>
      </c>
      <c r="B41" s="4">
        <v>56782556</v>
      </c>
    </row>
    <row r="42" spans="1:2" ht="12" customHeight="1" x14ac:dyDescent="0.2">
      <c r="A42" s="7" t="str">
        <f>'Pregnant Women Participating'!A42</f>
        <v>Wisconsin</v>
      </c>
      <c r="B42" s="4">
        <v>32620421</v>
      </c>
    </row>
    <row r="43" spans="1:2" s="17" customFormat="1" ht="24.75" customHeight="1" x14ac:dyDescent="0.2">
      <c r="A43" s="14" t="str">
        <f>'Pregnant Women Participating'!A43</f>
        <v>Midwest Region</v>
      </c>
      <c r="B43" s="15">
        <v>315260428</v>
      </c>
    </row>
    <row r="44" spans="1:2" ht="12" customHeight="1" x14ac:dyDescent="0.2">
      <c r="A44" s="7" t="str">
        <f>'Pregnant Women Participating'!A44</f>
        <v>Arizona</v>
      </c>
      <c r="B44" s="4">
        <v>44949717</v>
      </c>
    </row>
    <row r="45" spans="1:2" ht="12" customHeight="1" x14ac:dyDescent="0.2">
      <c r="A45" s="7" t="str">
        <f>'Pregnant Women Participating'!A45</f>
        <v>Arkansas</v>
      </c>
      <c r="B45" s="4">
        <v>25924446</v>
      </c>
    </row>
    <row r="46" spans="1:2" ht="12" customHeight="1" x14ac:dyDescent="0.2">
      <c r="A46" s="7" t="str">
        <f>'Pregnant Women Participating'!A46</f>
        <v>Louisiana</v>
      </c>
      <c r="B46" s="4">
        <v>39160340</v>
      </c>
    </row>
    <row r="47" spans="1:2" ht="12" customHeight="1" x14ac:dyDescent="0.2">
      <c r="A47" s="7" t="str">
        <f>'Pregnant Women Participating'!A47</f>
        <v>New Mexico</v>
      </c>
      <c r="B47" s="4">
        <v>20140916</v>
      </c>
    </row>
    <row r="48" spans="1:2" ht="12" customHeight="1" x14ac:dyDescent="0.2">
      <c r="A48" s="7" t="str">
        <f>'Pregnant Women Participating'!A48</f>
        <v>Oklahoma</v>
      </c>
      <c r="B48" s="4">
        <v>27994832</v>
      </c>
    </row>
    <row r="49" spans="1:2" ht="12" customHeight="1" x14ac:dyDescent="0.2">
      <c r="A49" s="7" t="str">
        <f>'Pregnant Women Participating'!A49</f>
        <v>Texas</v>
      </c>
      <c r="B49" s="4">
        <v>240578501</v>
      </c>
    </row>
    <row r="50" spans="1:2" ht="12" customHeight="1" x14ac:dyDescent="0.2">
      <c r="A50" s="7" t="str">
        <f>'Pregnant Women Participating'!A50</f>
        <v>Utah</v>
      </c>
      <c r="B50" s="4">
        <v>16419790</v>
      </c>
    </row>
    <row r="51" spans="1:2" ht="12" customHeight="1" x14ac:dyDescent="0.2">
      <c r="A51" s="7" t="str">
        <f>'Pregnant Women Participating'!A51</f>
        <v>Inter-Tribal Council, AZ</v>
      </c>
      <c r="B51" s="4">
        <v>3708259</v>
      </c>
    </row>
    <row r="52" spans="1:2" ht="12" customHeight="1" x14ac:dyDescent="0.2">
      <c r="A52" s="7" t="str">
        <f>'Pregnant Women Participating'!A52</f>
        <v>Navajo Nation, AZ</v>
      </c>
      <c r="B52" s="4">
        <v>3161749</v>
      </c>
    </row>
    <row r="53" spans="1:2" ht="12" customHeight="1" x14ac:dyDescent="0.2">
      <c r="A53" s="7" t="str">
        <f>'Pregnant Women Participating'!A53</f>
        <v>Acoma, Canoncito &amp; Laguna, NM</v>
      </c>
      <c r="B53" s="4">
        <v>271278</v>
      </c>
    </row>
    <row r="54" spans="1:2" ht="12" customHeight="1" x14ac:dyDescent="0.2">
      <c r="A54" s="7" t="str">
        <f>'Pregnant Women Participating'!A54</f>
        <v>Eight Northern Pueblos, NM</v>
      </c>
      <c r="B54" s="4">
        <v>407601</v>
      </c>
    </row>
    <row r="55" spans="1:2" ht="12" customHeight="1" x14ac:dyDescent="0.2">
      <c r="A55" s="7" t="str">
        <f>'Pregnant Women Participating'!A55</f>
        <v>Five Sandoval Pueblos, NM</v>
      </c>
      <c r="B55" s="4">
        <v>693621</v>
      </c>
    </row>
    <row r="56" spans="1:2" ht="12" customHeight="1" x14ac:dyDescent="0.2">
      <c r="A56" s="7" t="str">
        <f>'Pregnant Women Participating'!A56</f>
        <v>Isleta Pueblo, NM</v>
      </c>
      <c r="B56" s="4">
        <v>750006</v>
      </c>
    </row>
    <row r="57" spans="1:2" ht="12" customHeight="1" x14ac:dyDescent="0.2">
      <c r="A57" s="7" t="str">
        <f>'Pregnant Women Participating'!A57</f>
        <v>San Felipe Pueblo, NM</v>
      </c>
      <c r="B57" s="4">
        <v>570123</v>
      </c>
    </row>
    <row r="58" spans="1:2" ht="12" customHeight="1" x14ac:dyDescent="0.2">
      <c r="A58" s="7" t="str">
        <f>'Pregnant Women Participating'!A58</f>
        <v>Santo Domingo Tribe, NM</v>
      </c>
      <c r="B58" s="4">
        <v>288515</v>
      </c>
    </row>
    <row r="59" spans="1:2" ht="12" customHeight="1" x14ac:dyDescent="0.2">
      <c r="A59" s="7" t="str">
        <f>'Pregnant Women Participating'!A59</f>
        <v>Zuni Pueblo, NM</v>
      </c>
      <c r="B59" s="4">
        <v>705546</v>
      </c>
    </row>
    <row r="60" spans="1:2" ht="12" customHeight="1" x14ac:dyDescent="0.2">
      <c r="A60" s="7" t="str">
        <f>'Pregnant Women Participating'!A60</f>
        <v>Cherokee Nation, OK</v>
      </c>
      <c r="B60" s="4">
        <v>4143535</v>
      </c>
    </row>
    <row r="61" spans="1:2" ht="12" customHeight="1" x14ac:dyDescent="0.2">
      <c r="A61" s="7" t="str">
        <f>'Pregnant Women Participating'!A61</f>
        <v>Chickasaw Nation, OK</v>
      </c>
      <c r="B61" s="4">
        <v>4622003</v>
      </c>
    </row>
    <row r="62" spans="1:2" ht="12" customHeight="1" x14ac:dyDescent="0.2">
      <c r="A62" s="7" t="str">
        <f>'Pregnant Women Participating'!A62</f>
        <v>Choctaw Nation, OK</v>
      </c>
      <c r="B62" s="4">
        <v>2157734</v>
      </c>
    </row>
    <row r="63" spans="1:2" ht="12" customHeight="1" x14ac:dyDescent="0.2">
      <c r="A63" s="7" t="str">
        <f>'Pregnant Women Participating'!A63</f>
        <v>Citizen Potawatomi Nation, OK</v>
      </c>
      <c r="B63" s="4">
        <v>3091931</v>
      </c>
    </row>
    <row r="64" spans="1:2" ht="12" customHeight="1" x14ac:dyDescent="0.2">
      <c r="A64" s="7" t="str">
        <f>'Pregnant Women Participating'!A64</f>
        <v>Inter-Tribal Council, OK</v>
      </c>
      <c r="B64" s="4">
        <v>604609</v>
      </c>
    </row>
    <row r="65" spans="1:2" ht="12" customHeight="1" x14ac:dyDescent="0.2">
      <c r="A65" s="7" t="str">
        <f>'Pregnant Women Participating'!A65</f>
        <v>Muscogee Creek Nation, OK</v>
      </c>
      <c r="B65" s="4">
        <v>955173</v>
      </c>
    </row>
    <row r="66" spans="1:2" ht="12" customHeight="1" x14ac:dyDescent="0.2">
      <c r="A66" s="7" t="str">
        <f>'Pregnant Women Participating'!A66</f>
        <v>Osage Tribal Council, OK</v>
      </c>
      <c r="B66" s="4">
        <v>2145927</v>
      </c>
    </row>
    <row r="67" spans="1:2" ht="12" customHeight="1" x14ac:dyDescent="0.2">
      <c r="A67" s="7" t="str">
        <f>'Pregnant Women Participating'!A67</f>
        <v>Otoe-Missouria Tribe, OK</v>
      </c>
      <c r="B67" s="4">
        <v>977375</v>
      </c>
    </row>
    <row r="68" spans="1:2" ht="12" customHeight="1" x14ac:dyDescent="0.2">
      <c r="A68" s="7" t="str">
        <f>'Pregnant Women Participating'!A68</f>
        <v>Wichita, Caddo &amp; Delaware (WCD), OK</v>
      </c>
      <c r="B68" s="4">
        <v>3053099</v>
      </c>
    </row>
    <row r="69" spans="1:2" s="17" customFormat="1" ht="24.75" customHeight="1" x14ac:dyDescent="0.2">
      <c r="A69" s="14" t="str">
        <f>'Pregnant Women Participating'!A69</f>
        <v>Southwest Region</v>
      </c>
      <c r="B69" s="15">
        <v>447476626</v>
      </c>
    </row>
    <row r="70" spans="1:2" ht="12" customHeight="1" x14ac:dyDescent="0.2">
      <c r="A70" s="7" t="str">
        <f>'Pregnant Women Participating'!A70</f>
        <v>Colorado</v>
      </c>
      <c r="B70" s="13">
        <v>26576490</v>
      </c>
    </row>
    <row r="71" spans="1:2" ht="12" customHeight="1" x14ac:dyDescent="0.2">
      <c r="A71" s="7" t="str">
        <f>'Pregnant Women Participating'!A71</f>
        <v>Kansas</v>
      </c>
      <c r="B71" s="13">
        <v>20028264</v>
      </c>
    </row>
    <row r="72" spans="1:2" ht="12" customHeight="1" x14ac:dyDescent="0.2">
      <c r="A72" s="7" t="str">
        <f>'Pregnant Women Participating'!A72</f>
        <v>Missouri</v>
      </c>
      <c r="B72" s="13">
        <v>36290382</v>
      </c>
    </row>
    <row r="73" spans="1:2" ht="12" customHeight="1" x14ac:dyDescent="0.2">
      <c r="A73" s="7" t="str">
        <f>'Pregnant Women Participating'!A73</f>
        <v>Montana</v>
      </c>
      <c r="B73" s="13">
        <v>6843931</v>
      </c>
    </row>
    <row r="74" spans="1:2" ht="12" customHeight="1" x14ac:dyDescent="0.2">
      <c r="A74" s="7" t="str">
        <f>'Pregnant Women Participating'!A74</f>
        <v>Nebraska</v>
      </c>
      <c r="B74" s="13">
        <v>12844654</v>
      </c>
    </row>
    <row r="75" spans="1:2" ht="12" customHeight="1" x14ac:dyDescent="0.2">
      <c r="A75" s="7" t="str">
        <f>'Pregnant Women Participating'!A75</f>
        <v>North Dakota</v>
      </c>
      <c r="B75" s="13">
        <v>4812522</v>
      </c>
    </row>
    <row r="76" spans="1:2" ht="12" customHeight="1" x14ac:dyDescent="0.2">
      <c r="A76" s="7" t="str">
        <f>'Pregnant Women Participating'!A76</f>
        <v>South Dakota</v>
      </c>
      <c r="B76" s="13">
        <v>9944527</v>
      </c>
    </row>
    <row r="77" spans="1:2" ht="12" customHeight="1" x14ac:dyDescent="0.2">
      <c r="A77" s="7" t="str">
        <f>'Pregnant Women Participating'!A77</f>
        <v>Wyoming</v>
      </c>
      <c r="B77" s="13">
        <v>4843567</v>
      </c>
    </row>
    <row r="78" spans="1:2" ht="12" customHeight="1" x14ac:dyDescent="0.2">
      <c r="A78" s="7" t="str">
        <f>'Pregnant Women Participating'!A78</f>
        <v>Ute Mountain Ute Tribe, CO</v>
      </c>
      <c r="B78" s="13">
        <v>222727</v>
      </c>
    </row>
    <row r="79" spans="1:2" ht="12" customHeight="1" x14ac:dyDescent="0.2">
      <c r="A79" s="7" t="str">
        <f>'Pregnant Women Participating'!A79</f>
        <v>Omaha Sioux, NE</v>
      </c>
      <c r="B79" s="13">
        <v>500051</v>
      </c>
    </row>
    <row r="80" spans="1:2" ht="12" customHeight="1" x14ac:dyDescent="0.2">
      <c r="A80" s="7" t="str">
        <f>'Pregnant Women Participating'!A80</f>
        <v>Santee Sioux, NE</v>
      </c>
      <c r="B80" s="13">
        <v>119139</v>
      </c>
    </row>
    <row r="81" spans="1:2" ht="12" customHeight="1" x14ac:dyDescent="0.2">
      <c r="A81" s="7" t="str">
        <f>'Pregnant Women Participating'!A81</f>
        <v>Winnebago Tribe, NE</v>
      </c>
      <c r="B81" s="13">
        <v>261698</v>
      </c>
    </row>
    <row r="82" spans="1:2" ht="12" customHeight="1" x14ac:dyDescent="0.2">
      <c r="A82" s="7" t="str">
        <f>'Pregnant Women Participating'!A82</f>
        <v>Standing Rock Sioux Tribe, ND</v>
      </c>
      <c r="B82" s="13">
        <v>1871728</v>
      </c>
    </row>
    <row r="83" spans="1:2" ht="12" customHeight="1" x14ac:dyDescent="0.2">
      <c r="A83" s="7" t="str">
        <f>'Pregnant Women Participating'!A83</f>
        <v>Three Affiliated Tribes, ND</v>
      </c>
      <c r="B83" s="13">
        <v>573895</v>
      </c>
    </row>
    <row r="84" spans="1:2" ht="12" customHeight="1" x14ac:dyDescent="0.2">
      <c r="A84" s="7" t="str">
        <f>'Pregnant Women Participating'!A84</f>
        <v>Cheyenne River Sioux, SD</v>
      </c>
      <c r="B84" s="13">
        <v>517966</v>
      </c>
    </row>
    <row r="85" spans="1:2" ht="12" customHeight="1" x14ac:dyDescent="0.2">
      <c r="A85" s="7" t="str">
        <f>'Pregnant Women Participating'!A85</f>
        <v>Rosebud Sioux, SD</v>
      </c>
      <c r="B85" s="13">
        <v>888435</v>
      </c>
    </row>
    <row r="86" spans="1:2" ht="12" customHeight="1" x14ac:dyDescent="0.2">
      <c r="A86" s="7" t="str">
        <f>'Pregnant Women Participating'!A86</f>
        <v>Northern Arapahoe, WY</v>
      </c>
      <c r="B86" s="13">
        <v>434570</v>
      </c>
    </row>
    <row r="87" spans="1:2" ht="12" customHeight="1" x14ac:dyDescent="0.2">
      <c r="A87" s="7" t="str">
        <f>'Pregnant Women Participating'!A87</f>
        <v>Shoshone Tribe, WY</v>
      </c>
      <c r="B87" s="13">
        <v>271447</v>
      </c>
    </row>
    <row r="88" spans="1:2" s="17" customFormat="1" ht="24.75" customHeight="1" x14ac:dyDescent="0.2">
      <c r="A88" s="14" t="str">
        <f>'Pregnant Women Participating'!A88</f>
        <v>Mountain Plains</v>
      </c>
      <c r="B88" s="15">
        <v>127845993</v>
      </c>
    </row>
    <row r="89" spans="1:2" ht="12" customHeight="1" x14ac:dyDescent="0.2">
      <c r="A89" s="8" t="str">
        <f>'Pregnant Women Participating'!A89</f>
        <v>Alaska</v>
      </c>
      <c r="B89" s="13">
        <v>7272139</v>
      </c>
    </row>
    <row r="90" spans="1:2" ht="12" customHeight="1" x14ac:dyDescent="0.2">
      <c r="A90" s="8" t="str">
        <f>'Pregnant Women Participating'!A90</f>
        <v>American Samoa</v>
      </c>
      <c r="B90" s="13">
        <v>1998008</v>
      </c>
    </row>
    <row r="91" spans="1:2" ht="12" customHeight="1" x14ac:dyDescent="0.2">
      <c r="A91" s="8" t="str">
        <f>'Pregnant Women Participating'!A91</f>
        <v>California</v>
      </c>
      <c r="B91" s="13">
        <v>377252838</v>
      </c>
    </row>
    <row r="92" spans="1:2" ht="12" customHeight="1" x14ac:dyDescent="0.2">
      <c r="A92" s="8" t="str">
        <f>'Pregnant Women Participating'!A92</f>
        <v>Guam</v>
      </c>
      <c r="B92" s="13">
        <v>3347782</v>
      </c>
    </row>
    <row r="93" spans="1:2" ht="12" customHeight="1" x14ac:dyDescent="0.2">
      <c r="A93" s="8" t="str">
        <f>'Pregnant Women Participating'!A93</f>
        <v>Hawaii</v>
      </c>
      <c r="B93" s="13">
        <v>8997696</v>
      </c>
    </row>
    <row r="94" spans="1:2" ht="12" customHeight="1" x14ac:dyDescent="0.2">
      <c r="A94" s="8" t="str">
        <f>'Pregnant Women Participating'!A94</f>
        <v>Idaho</v>
      </c>
      <c r="B94" s="13">
        <v>9792720</v>
      </c>
    </row>
    <row r="95" spans="1:2" ht="12" customHeight="1" x14ac:dyDescent="0.2">
      <c r="A95" s="8" t="str">
        <f>'Pregnant Women Participating'!A95</f>
        <v>Nevada</v>
      </c>
      <c r="B95" s="13">
        <v>17907402</v>
      </c>
    </row>
    <row r="96" spans="1:2" ht="12" customHeight="1" x14ac:dyDescent="0.2">
      <c r="A96" s="8" t="str">
        <f>'Pregnant Women Participating'!A96</f>
        <v>Oregon</v>
      </c>
      <c r="B96" s="13">
        <v>29562920</v>
      </c>
    </row>
    <row r="97" spans="1:2" ht="12" customHeight="1" x14ac:dyDescent="0.2">
      <c r="A97" s="8" t="str">
        <f>'Pregnant Women Participating'!A97</f>
        <v>Washington</v>
      </c>
      <c r="B97" s="13">
        <v>63641911</v>
      </c>
    </row>
    <row r="98" spans="1:2" ht="12" customHeight="1" x14ac:dyDescent="0.2">
      <c r="A98" s="8" t="str">
        <f>'Pregnant Women Participating'!A98</f>
        <v>Northern Marianas</v>
      </c>
      <c r="B98" s="13">
        <v>1458738</v>
      </c>
    </row>
    <row r="99" spans="1:2" ht="12" customHeight="1" x14ac:dyDescent="0.2">
      <c r="A99" s="8" t="str">
        <f>'Pregnant Women Participating'!A99</f>
        <v>Inter-Tribal Council, NV</v>
      </c>
      <c r="B99" s="13">
        <v>846342</v>
      </c>
    </row>
    <row r="100" spans="1:2" s="17" customFormat="1" ht="24.75" customHeight="1" x14ac:dyDescent="0.2">
      <c r="A100" s="14" t="str">
        <f>'Pregnant Women Participating'!A100</f>
        <v>Western Region</v>
      </c>
      <c r="B100" s="15">
        <v>522078496</v>
      </c>
    </row>
    <row r="101" spans="1:2" s="25" customFormat="1" ht="16.5" customHeight="1" thickBot="1" x14ac:dyDescent="0.25">
      <c r="A101" s="22" t="str">
        <f>'Pregnant Women Participating'!A101</f>
        <v>TOTAL</v>
      </c>
      <c r="B101" s="23">
        <v>2329439135</v>
      </c>
    </row>
    <row r="102" spans="1:2" ht="12.75" customHeight="1" thickTop="1" x14ac:dyDescent="0.2">
      <c r="A102" s="9"/>
    </row>
    <row r="103" spans="1:2" x14ac:dyDescent="0.2">
      <c r="A103" s="9"/>
    </row>
    <row r="104" spans="1:2" s="27" customFormat="1" ht="12.75" x14ac:dyDescent="0.2">
      <c r="A104" s="26" t="s">
        <v>1</v>
      </c>
    </row>
  </sheetData>
  <phoneticPr fontId="1" type="noConversion"/>
  <pageMargins left="0.5" right="0.5" top="0.5" bottom="0.5" header="0.5" footer="0.3"/>
  <pageSetup fitToHeight="0" orientation="landscape" r:id="rId1"/>
  <headerFooter alignWithMargins="0">
    <oddFooter>&amp;L&amp;6Source: National Data Bank, USDA/Food and Nutrition Service&amp;C&amp;6Page &amp;P of &amp;N&amp;R&amp;6Printed on: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11</vt:i4>
      </vt:variant>
    </vt:vector>
  </HeadingPairs>
  <TitlesOfParts>
    <vt:vector size="28" baseType="lpstr">
      <vt:lpstr>Introduction</vt:lpstr>
      <vt:lpstr>Pregnant Women Participating</vt:lpstr>
      <vt:lpstr>Women Fully Breastfeeding</vt:lpstr>
      <vt:lpstr>Women Partially Breastfeeding</vt:lpstr>
      <vt:lpstr>Total Breastfeeding Women</vt:lpstr>
      <vt:lpstr>Postpartum Women Participating</vt:lpstr>
      <vt:lpstr>Total Women</vt:lpstr>
      <vt:lpstr>Infants Fully Breastfed</vt:lpstr>
      <vt:lpstr>Infants Partially Breastfed</vt:lpstr>
      <vt:lpstr>Infants Fully Formula-fed</vt:lpstr>
      <vt:lpstr>Total Infants</vt:lpstr>
      <vt:lpstr>Children Participating</vt:lpstr>
      <vt:lpstr>Total Number of Participants</vt:lpstr>
      <vt:lpstr>Average Food Cost Per Person</vt:lpstr>
      <vt:lpstr>Food Costs</vt:lpstr>
      <vt:lpstr>Rebates Received</vt:lpstr>
      <vt:lpstr>Nut. Services &amp; Admin. Costs</vt:lpstr>
      <vt:lpstr>'Average Food Cost Per Person'!Print_Titles</vt:lpstr>
      <vt:lpstr>'Children Participating'!Print_Titles</vt:lpstr>
      <vt:lpstr>'Food Costs'!Print_Titles</vt:lpstr>
      <vt:lpstr>'Nut. Services &amp; Admin. Costs'!Print_Titles</vt:lpstr>
      <vt:lpstr>'Postpartum Women Participating'!Print_Titles</vt:lpstr>
      <vt:lpstr>'Pregnant Women Participating'!Print_Titles</vt:lpstr>
      <vt:lpstr>'Rebates Received'!Print_Titles</vt:lpstr>
      <vt:lpstr>'Total Breastfeeding Women'!Print_Titles</vt:lpstr>
      <vt:lpstr>'Total Infants'!Print_Titles</vt:lpstr>
      <vt:lpstr>'Total Number of Participants'!Print_Titles</vt:lpstr>
      <vt:lpstr>'Total Women'!Print_Titles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Jianbai - FNS (Contractor)</dc:creator>
  <cp:lastModifiedBy>Mountjoy, Candy - FNA</cp:lastModifiedBy>
  <cp:lastPrinted>2007-07-12T20:45:57Z</cp:lastPrinted>
  <dcterms:created xsi:type="dcterms:W3CDTF">2003-03-31T18:32:09Z</dcterms:created>
  <dcterms:modified xsi:type="dcterms:W3CDTF">2026-10-08T13:19:48Z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