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TANFDATA\Drupal\TANF Documents_508\2025\15mo-in progress\"/>
    </mc:Choice>
  </mc:AlternateContent>
  <xr:revisionPtr revIDLastSave="0" documentId="13_ncr:1_{6F160CBC-5A87-4519-8475-58C7FF61D8C3}" xr6:coauthVersionLast="47" xr6:coauthVersionMax="47" xr10:uidLastSave="{00000000-0000-0000-0000-000000000000}"/>
  <bookViews>
    <workbookView xWindow="-27135" yWindow="2550" windowWidth="21600" windowHeight="11295" tabRatio="822" xr2:uid="{00000000-000D-0000-FFFF-FFFF00000000}"/>
  </bookViews>
  <sheets>
    <sheet name="TFam" sheetId="1" r:id="rId2"/>
    <sheet name="TRec" sheetId="5" r:id="rId6"/>
    <sheet name="Mar25" sheetId="13" r:id="rId14"/>
    <sheet name="FYCY2025-Families" sheetId="25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<sst xmlns="http://schemas.openxmlformats.org/spreadsheetml/2006/main" count="1665" uniqueCount="109">
  <si>
    <t>TANF:  Total Number of Families</t>
  </si>
  <si>
    <t>State</t>
  </si>
  <si>
    <t>U.S. Totals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</si>
  <si>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</si>
  <si>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</si>
  <si>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</si>
  <si>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</si>
  <si>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</si>
  <si>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</si>
  <si>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</si>
  <si>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</si>
  <si>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</si>
  <si>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</si>
  <si>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</si>
  <si>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</si>
  <si>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</si>
  <si>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</si>
  <si>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</si>
  <si>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</si>
  <si>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</si>
  <si>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</si>
  <si>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</si>
  <si>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</si>
  <si>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</si>
  <si>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</si>
  <si>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</si>
  <si>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</si>
  <si>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</si>
  <si>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</si>
  <si>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</si>
  <si>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</si>
  <si>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</si>
  <si>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</si>
  <si>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</si>
  <si>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</si>
  <si>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</si>
  <si>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</si>
  <si>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</si>
  <si>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</si>
  <si>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</si>
  <si>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</si>
  <si>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</si>
  <si>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</si>
  <si>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</si>
  <si>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</si>
  <si>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</si>
  <si>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</si>
  <si>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</si>
  <si>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</si>
  <si>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</si>
  <si>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</si>
  <si>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</si>
  <si>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</si>
  <si>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</si>
  <si>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</si>
  <si>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</si>
  <si>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</si>
  <si>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 xml:space="preserve">    </t>
  </si>
  <si>
    <t xml:space="preserve">Notes: </t>
  </si>
  <si>
    <t>TANF:   Total Number of Two Parent Families</t>
  </si>
  <si>
    <t>TANF:  Total Number of One Parent Families</t>
  </si>
  <si>
    <t>TANF:  Total Number of No Parent Families</t>
  </si>
  <si>
    <t>TANF:  Total Number of Recipients</t>
  </si>
  <si>
    <t>TANF:  Total Number of Adult Recipients</t>
  </si>
  <si>
    <t>TANF:  Total Number of Child Recipients</t>
  </si>
  <si>
    <t>Temporary Assistance for Needy Families (TANF)</t>
  </si>
  <si>
    <t>Total
Families</t>
  </si>
  <si>
    <t>Two
Parent
Families</t>
  </si>
  <si>
    <t>One 
Parent 
Families</t>
  </si>
  <si>
    <t>No 
Parent 
Families</t>
  </si>
  <si>
    <t>Total Recipients</t>
  </si>
  <si>
    <t>Adults</t>
  </si>
  <si>
    <t>Children</t>
  </si>
  <si>
    <t>Total 
Recipients</t>
  </si>
  <si>
    <t>"-" - data inapplicable</t>
  </si>
  <si>
    <t>LIST OF TABLES</t>
  </si>
  <si>
    <t>Families</t>
  </si>
  <si>
    <t>Recipients</t>
  </si>
  <si>
    <t>Monthly Caseload Data</t>
  </si>
  <si>
    <t xml:space="preserve"> October 2024</t>
  </si>
  <si>
    <t xml:space="preserve"> November 2024</t>
  </si>
  <si>
    <t>Fiscal Year 2025</t>
  </si>
  <si>
    <t>Average
FY 2025</t>
  </si>
  <si>
    <t>Average
CY 2025</t>
  </si>
  <si>
    <t>Calendar year average is based on data Jan. 2025 through Dec. 2025</t>
  </si>
  <si>
    <t>Caseload Data - Fiscal Year (FY) 2025</t>
  </si>
  <si>
    <t xml:space="preserve"> January 2025</t>
  </si>
  <si>
    <t xml:space="preserve"> February 2025</t>
  </si>
  <si>
    <t xml:space="preserve"> March 2025</t>
  </si>
  <si>
    <t xml:space="preserve"> April 2025</t>
  </si>
  <si>
    <t xml:space="preserve"> May 2025</t>
  </si>
  <si>
    <t xml:space="preserve"> June 2025</t>
  </si>
  <si>
    <t xml:space="preserve"> December 2024</t>
  </si>
  <si>
    <t>Average Monthly Numbers: Oct. 2024 - Dec. 2025</t>
  </si>
  <si>
    <t>Fiscal year average is based on data Oct. 2024 through Sep. 2025</t>
  </si>
  <si>
    <t>Fiscal Year 2025 (October - September)</t>
  </si>
  <si>
    <t>Calendar Year 2025 (January - December)</t>
  </si>
  <si>
    <t>AVERAGE MONTHLY NUMBER OF RECIPIENTS, ADULTS, AND CHILDREN: Oct. 2024 - Dec. 2025</t>
  </si>
  <si>
    <t>AVERAGE MONTHLY NUMBER OF FAMILIES: Oct. 2024 - Dec. 2025</t>
  </si>
  <si>
    <t xml:space="preserve"> November 2025</t>
  </si>
  <si>
    <t xml:space="preserve"> October 2025</t>
  </si>
  <si>
    <t xml:space="preserve"> September 2025</t>
  </si>
  <si>
    <t xml:space="preserve"> July 2025</t>
  </si>
  <si>
    <t xml:space="preserve"> 2025</t>
  </si>
  <si>
    <t>2025</t>
  </si>
  <si>
    <t xml:space="preserve"> December 2025</t>
  </si>
  <si>
    <t xml:space="preserve"> August 2025</t>
  </si>
  <si>
    <t xml:space="preserve"> Average Monthly Number of Families</t>
  </si>
  <si>
    <t xml:space="preserve"> Average Monthly Number of 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</si>
</sst>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</cellStyleXfs>
  <cellXfs count="118">
    <xf numFmtId="0" fontId="0" fillId="0" borderId="0" xfId="0"/>
    <xf numFmtId="164" fontId="2" fillId="0" borderId="0" xfId="1" applyNumberFormat="1" applyFont="1" applyAlignment="1"/>
    <xf numFmtId="164" fontId="3" fillId="0" borderId="0" xfId="1" applyNumberFormat="1" applyFont="1" applyAlignment="1"/>
    <xf numFmtId="0" fontId="5" fillId="0" borderId="2" xfId="0" applyFont="1" applyBorder="1" applyAlignment="1">
      <alignment horizontal="center"/>
    </xf>
    <xf numFmtId="17" fontId="5" fillId="0" borderId="2" xfId="1" applyNumberFormat="1" applyFont="1" applyBorder="1" applyAlignment="1">
      <alignment horizontal="center"/>
    </xf>
    <xf numFmtId="17" fontId="5" fillId="0" borderId="3" xfId="1" applyNumberFormat="1" applyFont="1" applyBorder="1" applyAlignment="1">
      <alignment horizontal="center" wrapText="1"/>
    </xf>
    <xf numFmtId="164" fontId="5" fillId="0" borderId="2" xfId="1" applyNumberFormat="1" applyFont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0" fontId="6" fillId="0" borderId="4" xfId="1" applyNumberFormat="1" applyFont="1" applyBorder="1" applyAlignment="1">
      <alignment horizontal="center"/>
    </xf>
    <xf numFmtId="164" fontId="6" fillId="0" borderId="4" xfId="1" applyNumberFormat="1" applyFont="1" applyBorder="1" applyAlignment="1"/>
    <xf numFmtId="164" fontId="6" fillId="0" borderId="5" xfId="1" applyNumberFormat="1" applyFont="1" applyBorder="1" applyAlignment="1"/>
    <xf numFmtId="164" fontId="6" fillId="0" borderId="4" xfId="1" applyNumberFormat="1" applyFont="1" applyFill="1" applyBorder="1" applyAlignment="1"/>
    <xf numFmtId="164" fontId="4" fillId="0" borderId="0" xfId="1" applyNumberFormat="1" applyFont="1" applyAlignment="1"/>
    <xf numFmtId="0" fontId="5" fillId="0" borderId="3" xfId="1" applyNumberFormat="1" applyFont="1" applyBorder="1" applyAlignment="1"/>
    <xf numFmtId="164" fontId="5" fillId="0" borderId="3" xfId="1" applyNumberFormat="1" applyFont="1" applyBorder="1" applyAlignment="1"/>
    <xf numFmtId="164" fontId="5" fillId="0" borderId="6" xfId="1" applyNumberFormat="1" applyFont="1" applyBorder="1" applyAlignment="1"/>
    <xf numFmtId="164" fontId="5" fillId="0" borderId="3" xfId="1" applyNumberFormat="1" applyFont="1" applyFill="1" applyBorder="1" applyAlignment="1"/>
    <xf numFmtId="164" fontId="5" fillId="0" borderId="0" xfId="1" applyNumberFormat="1" applyFont="1" applyAlignment="1"/>
    <xf numFmtId="164" fontId="5" fillId="0" borderId="3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left"/>
    </xf>
    <xf numFmtId="164" fontId="5" fillId="2" borderId="3" xfId="1" applyNumberFormat="1" applyFont="1" applyFill="1" applyBorder="1" applyAlignment="1"/>
    <xf numFmtId="164" fontId="5" fillId="0" borderId="3" xfId="1" applyNumberFormat="1" applyFont="1" applyFill="1" applyBorder="1" applyAlignment="1">
      <alignment horizontal="center"/>
    </xf>
    <xf numFmtId="164" fontId="5" fillId="2" borderId="3" xfId="1" applyNumberFormat="1" applyFont="1" applyFill="1" applyBorder="1" applyAlignment="1">
      <alignment horizontal="left"/>
    </xf>
    <xf numFmtId="0" fontId="5" fillId="0" borderId="2" xfId="1" applyNumberFormat="1" applyFont="1" applyBorder="1" applyAlignment="1"/>
    <xf numFmtId="164" fontId="5" fillId="0" borderId="2" xfId="1" applyNumberFormat="1" applyFont="1" applyBorder="1" applyAlignment="1"/>
    <xf numFmtId="164" fontId="5" fillId="0" borderId="2" xfId="1" applyNumberFormat="1" applyFont="1" applyBorder="1" applyAlignment="1">
      <alignment horizontal="center"/>
    </xf>
    <xf numFmtId="164" fontId="5" fillId="0" borderId="7" xfId="1" applyNumberFormat="1" applyFont="1" applyBorder="1" applyAlignment="1"/>
    <xf numFmtId="164" fontId="5" fillId="0" borderId="2" xfId="1" applyNumberFormat="1" applyFont="1" applyFill="1" applyBorder="1" applyAlignment="1"/>
    <xf numFmtId="0" fontId="5" fillId="0" borderId="0" xfId="1" applyNumberFormat="1" applyFont="1" applyAlignment="1"/>
    <xf numFmtId="0" fontId="5" fillId="0" borderId="0" xfId="1" quotePrefix="1" applyNumberFormat="1" applyFont="1" applyAlignment="1"/>
    <xf numFmtId="3" fontId="5" fillId="0" borderId="0" xfId="2" applyNumberFormat="1"/>
    <xf numFmtId="0" fontId="5" fillId="0" borderId="8" xfId="0" applyFont="1" applyBorder="1" applyAlignment="1">
      <alignment horizontal="center" wrapText="1"/>
    </xf>
    <xf numFmtId="3" fontId="5" fillId="0" borderId="0" xfId="2" applyNumberFormat="1" applyAlignment="1">
      <alignment horizontal="center" wrapText="1"/>
    </xf>
    <xf numFmtId="164" fontId="6" fillId="0" borderId="4" xfId="1" applyNumberFormat="1" applyFont="1" applyBorder="1" applyAlignment="1">
      <alignment horizontal="right"/>
    </xf>
    <xf numFmtId="164" fontId="6" fillId="0" borderId="0" xfId="1" applyNumberFormat="1" applyFont="1" applyBorder="1" applyAlignment="1">
      <alignment horizontal="right"/>
    </xf>
    <xf numFmtId="164" fontId="5" fillId="0" borderId="3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164" fontId="5" fillId="0" borderId="3" xfId="1" quotePrefix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3" fontId="5" fillId="0" borderId="0" xfId="2" applyNumberFormat="1" applyAlignment="1">
      <alignment horizontal="right"/>
    </xf>
    <xf numFmtId="0" fontId="5" fillId="0" borderId="0" xfId="2" applyAlignment="1">
      <alignment horizontal="left"/>
    </xf>
    <xf numFmtId="3" fontId="5" fillId="0" borderId="0" xfId="1" applyNumberFormat="1" applyFont="1" applyAlignment="1">
      <alignment horizontal="right"/>
    </xf>
    <xf numFmtId="0" fontId="5" fillId="0" borderId="3" xfId="1" applyNumberFormat="1" applyFont="1" applyBorder="1" applyAlignment="1">
      <alignment horizontal="left"/>
    </xf>
    <xf numFmtId="0" fontId="5" fillId="0" borderId="2" xfId="1" applyNumberFormat="1" applyFont="1" applyBorder="1" applyAlignment="1">
      <alignment horizontal="left"/>
    </xf>
    <xf numFmtId="3" fontId="3" fillId="0" borderId="0" xfId="2" applyNumberFormat="1" applyFont="1"/>
    <xf numFmtId="0" fontId="5" fillId="0" borderId="0" xfId="1" applyNumberFormat="1" applyFont="1" applyAlignment="1">
      <alignment horizontal="left"/>
    </xf>
    <xf numFmtId="3" fontId="3" fillId="0" borderId="0" xfId="1" applyNumberFormat="1" applyFont="1" applyAlignment="1"/>
    <xf numFmtId="3" fontId="5" fillId="0" borderId="0" xfId="1" applyNumberFormat="1" applyFont="1" applyAlignment="1">
      <alignment horizontal="center" wrapText="1"/>
    </xf>
    <xf numFmtId="0" fontId="5" fillId="0" borderId="0" xfId="2"/>
    <xf numFmtId="0" fontId="5" fillId="0" borderId="0" xfId="2" applyAlignment="1">
      <alignment horizontal="center" wrapText="1"/>
    </xf>
    <xf numFmtId="164" fontId="6" fillId="0" borderId="0" xfId="1" applyNumberFormat="1" applyFont="1" applyBorder="1" applyAlignment="1"/>
    <xf numFmtId="0" fontId="5" fillId="0" borderId="0" xfId="0" applyFont="1"/>
    <xf numFmtId="0" fontId="6" fillId="2" borderId="4" xfId="1" applyNumberFormat="1" applyFont="1" applyFill="1" applyBorder="1" applyAlignment="1">
      <alignment horizontal="center"/>
    </xf>
    <xf numFmtId="164" fontId="8" fillId="0" borderId="0" xfId="1" applyNumberFormat="1" applyFont="1" applyAlignment="1"/>
    <xf numFmtId="0" fontId="5" fillId="2" borderId="3" xfId="1" applyNumberFormat="1" applyFont="1" applyFill="1" applyBorder="1" applyAlignment="1">
      <alignment horizontal="left"/>
    </xf>
    <xf numFmtId="0" fontId="5" fillId="2" borderId="2" xfId="1" applyNumberFormat="1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6" fillId="2" borderId="3" xfId="1" applyNumberFormat="1" applyFont="1" applyFill="1" applyBorder="1" applyAlignment="1">
      <alignment horizontal="center"/>
    </xf>
    <xf numFmtId="164" fontId="6" fillId="0" borderId="3" xfId="1" applyNumberFormat="1" applyFont="1" applyBorder="1" applyAlignment="1">
      <alignment horizontal="right"/>
    </xf>
    <xf numFmtId="164" fontId="6" fillId="0" borderId="6" xfId="1" applyNumberFormat="1" applyFont="1" applyBorder="1" applyAlignment="1">
      <alignment horizontal="right"/>
    </xf>
    <xf numFmtId="164" fontId="6" fillId="0" borderId="0" xfId="1" applyNumberFormat="1" applyFont="1" applyAlignment="1"/>
    <xf numFmtId="0" fontId="4" fillId="0" borderId="0" xfId="1" applyNumberFormat="1" applyFont="1" applyBorder="1" applyAlignment="1"/>
    <xf numFmtId="0" fontId="5" fillId="2" borderId="0" xfId="0" applyFont="1" applyFill="1"/>
    <xf numFmtId="0" fontId="5" fillId="0" borderId="8" xfId="0" applyFont="1" applyBorder="1" applyAlignment="1">
      <alignment horizontal="center"/>
    </xf>
    <xf numFmtId="17" fontId="5" fillId="0" borderId="8" xfId="1" applyNumberFormat="1" applyFont="1" applyBorder="1" applyAlignment="1">
      <alignment horizontal="center"/>
    </xf>
    <xf numFmtId="17" fontId="5" fillId="0" borderId="8" xfId="1" applyNumberFormat="1" applyFont="1" applyBorder="1" applyAlignment="1">
      <alignment horizontal="center" wrapText="1"/>
    </xf>
    <xf numFmtId="164" fontId="5" fillId="0" borderId="8" xfId="1" applyNumberFormat="1" applyFont="1" applyBorder="1" applyAlignment="1">
      <alignment horizontal="center" wrapText="1"/>
    </xf>
    <xf numFmtId="0" fontId="3" fillId="0" borderId="0" xfId="1" applyNumberFormat="1" applyFont="1" applyAlignment="1">
      <alignment horizontal="left"/>
    </xf>
    <xf numFmtId="14" fontId="4" fillId="0" borderId="1" xfId="1" applyNumberFormat="1" applyFont="1" applyBorder="1" applyAlignment="1">
      <alignment horizontal="left"/>
    </xf>
    <xf numFmtId="0" fontId="4" fillId="0" borderId="0" xfId="1" applyNumberFormat="1" applyFont="1" applyBorder="1" applyAlignment="1">
      <alignment horizontal="left"/>
    </xf>
    <xf numFmtId="0" fontId="2" fillId="0" borderId="0" xfId="1" applyNumberFormat="1" applyFont="1" applyAlignment="1">
      <alignment horizontal="left"/>
    </xf>
    <xf numFmtId="14" fontId="4" fillId="0" borderId="0" xfId="1" applyNumberFormat="1" applyFont="1" applyBorder="1" applyAlignment="1">
      <alignment horizontal="left"/>
    </xf>
    <xf numFmtId="0" fontId="4" fillId="0" borderId="9" xfId="1" applyNumberFormat="1" applyFont="1" applyBorder="1" applyAlignment="1"/>
    <xf numFmtId="0" fontId="4" fillId="0" borderId="9" xfId="1" applyNumberFormat="1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3" fillId="0" borderId="0" xfId="1" applyNumberFormat="1" applyFont="1" applyAlignment="1"/>
    <xf numFmtId="14" fontId="4" fillId="0" borderId="1" xfId="1" applyNumberFormat="1" applyFont="1" applyBorder="1" applyAlignment="1"/>
    <xf numFmtId="0" fontId="4" fillId="0" borderId="1" xfId="1" applyNumberFormat="1" applyFont="1" applyBorder="1" applyAlignment="1"/>
    <xf numFmtId="164" fontId="2" fillId="0" borderId="0" xfId="1" applyNumberFormat="1" applyFont="1" applyAlignment="1">
      <alignment horizontal="left"/>
    </xf>
    <xf numFmtId="0" fontId="2" fillId="0" borderId="0" xfId="1" applyNumberFormat="1" applyFont="1" applyAlignment="1"/>
    <xf numFmtId="14" fontId="4" fillId="0" borderId="9" xfId="1" applyNumberFormat="1" applyFont="1" applyBorder="1" applyAlignment="1">
      <alignment horizontal="left"/>
    </xf>
    <xf numFmtId="0" fontId="5" fillId="2" borderId="2" xfId="0" applyFont="1" applyFill="1" applyBorder="1" applyAlignment="1">
      <alignment wrapText="1"/>
    </xf>
    <xf numFmtId="0" fontId="2" fillId="0" borderId="0" xfId="2" quotePrefix="1" applyFont="1" applyAlignment="1">
      <alignment horizontal="centerContinuous"/>
    </xf>
    <xf numFmtId="0" fontId="3" fillId="0" borderId="0" xfId="2" applyFont="1" applyAlignment="1">
      <alignment horizontal="centerContinuous"/>
    </xf>
    <xf numFmtId="0" fontId="2" fillId="0" borderId="0" xfId="1" quotePrefix="1" applyNumberFormat="1" applyFont="1" applyAlignment="1">
      <alignment horizontal="centerContinuous"/>
    </xf>
    <xf numFmtId="0" fontId="3" fillId="0" borderId="0" xfId="1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164" fontId="6" fillId="0" borderId="3" xfId="1" applyNumberFormat="1" applyFont="1" applyFill="1" applyBorder="1" applyAlignment="1">
      <alignment horizontal="right"/>
    </xf>
    <xf numFmtId="0" fontId="6" fillId="0" borderId="4" xfId="1" applyNumberFormat="1" applyFont="1" applyFill="1" applyBorder="1" applyAlignment="1">
      <alignment horizontal="center"/>
    </xf>
    <xf numFmtId="164" fontId="5" fillId="0" borderId="3" xfId="1" applyNumberFormat="1" applyFont="1" applyFill="1" applyBorder="1" applyAlignment="1">
      <alignment horizontal="right"/>
    </xf>
    <xf numFmtId="0" fontId="5" fillId="0" borderId="3" xfId="1" applyNumberFormat="1" applyFont="1" applyFill="1" applyBorder="1" applyAlignment="1">
      <alignment horizontal="left"/>
    </xf>
    <xf numFmtId="0" fontId="5" fillId="0" borderId="2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>
      <alignment horizontal="left"/>
    </xf>
    <xf numFmtId="14" fontId="4" fillId="0" borderId="9" xfId="1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2" borderId="2" xfId="0" applyFont="1" applyFill="1" applyBorder="1"/>
    <xf numFmtId="0" fontId="7" fillId="0" borderId="0" xfId="0" applyFont="1" applyAlignment="1">
      <alignment horizontal="centerContinuous"/>
    </xf>
    <xf numFmtId="0" fontId="4" fillId="0" borderId="1" xfId="0" applyFont="1" applyBorder="1"/>
    <xf numFmtId="0" fontId="5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13" fillId="0" borderId="0" xfId="1" quotePrefix="1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9" fillId="0" borderId="0" xfId="3" applyAlignment="1">
      <alignment horizontal="left" indent="1"/>
    </xf>
    <xf numFmtId="0" fontId="9" fillId="0" borderId="0" xfId="3" applyNumberFormat="1" applyAlignment="1">
      <alignment horizontal="left" indent="1"/>
    </xf>
    <xf numFmtId="0" fontId="9" fillId="0" borderId="0" xfId="3" quotePrefix="1" applyNumberFormat="1" applyAlignment="1">
      <alignment horizontal="left" indent="1"/>
    </xf>
    <xf numFmtId="0" fontId="9" fillId="0" borderId="0" xfId="3" quotePrefix="1" applyFill="1"/>
    <xf numFmtId="0" fontId="9" fillId="0" borderId="0" xfId="3" quotePrefix="1"/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Normal_200415monthsss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28" Type="http://schemas.openxmlformats.org/officeDocument/2006/relationships/sharedStrings" Target="sharedStrings.xml"/><Relationship Id="rId31" Type="http://schemas.openxmlformats.org/officeDocument/2006/relationships/customXml" Target="../customXml/item2.xml"/><Relationship Id="rId14" Type="http://schemas.openxmlformats.org/officeDocument/2006/relationships/worksheet" Target="worksheets/sheet14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4"/>
  <sheetViews>
    <sheetView workbookViewId="0"/>
  </sheetViews>
  <sheetFormatPr defaultColWidth="9.28515625" defaultRowHeight="11.25" x14ac:dyDescent="0.2"/>
  <cols>
    <col min="1" max="1" width="14.28515625" style="28" bestFit="1" customWidth="1"/>
    <col min="2" max="18" width="10" style="17" customWidth="1"/>
    <col min="19" max="16384" width="9.28515625" style="17"/>
  </cols>
  <sheetData>
    <row r="1" spans="1:18" s="1" customFormat="1" ht="15.75" x14ac:dyDescent="0.25">
      <c r="A1" s="78" t="s">
        <v>0</v>
      </c>
    </row>
    <row r="2" spans="1:18" s="2" customFormat="1" ht="12.75" x14ac:dyDescent="0.2">
      <c r="A2" s="75" t="s">
        <v>81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s="2" customFormat="1" ht="12.75" x14ac:dyDescent="0.2">
      <c r="A3" s="68">
        <v>46111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1:18" s="7" customFormat="1" ht="22.5" x14ac:dyDescent="0.2">
      <c r="A4" s="3" t="s">
        <v>1</v>
      </c>
      <c r="B4" s="4">
        <v>45566</v>
      </c>
      <c r="C4" s="4">
        <v>45597</v>
      </c>
      <c r="D4" s="4">
        <v>45627</v>
      </c>
      <c r="E4" s="4">
        <v>45658</v>
      </c>
      <c r="F4" s="4">
        <v>45689</v>
      </c>
      <c r="G4" s="4">
        <v>45717</v>
      </c>
      <c r="H4" s="4">
        <v>45748</v>
      </c>
      <c r="I4" s="4">
        <v>45778</v>
      </c>
      <c r="J4" s="4">
        <v>45809</v>
      </c>
      <c r="K4" s="4">
        <v>45839</v>
      </c>
      <c r="L4" s="4">
        <v>45870</v>
      </c>
      <c r="M4" s="4">
        <v>45901</v>
      </c>
      <c r="N4" s="4">
        <v>45931</v>
      </c>
      <c r="O4" s="4">
        <v>45962</v>
      </c>
      <c r="P4" s="4">
        <v>45992</v>
      </c>
      <c r="Q4" s="5" t="s">
        <v>82</v>
      </c>
      <c r="R4" s="6" t="s">
        <v>83</v>
      </c>
    </row>
    <row r="5" spans="1:18" s="12" customFormat="1" x14ac:dyDescent="0.2">
      <c r="A5" s="8" t="s">
        <v>2</v>
      </c>
      <c r="B5" s="9">
        <f>SUM(B6:B59)</f>
        <v>873701</v>
      </c>
      <c r="C5" s="9">
        <f t="shared" ref="C5:P5" si="0">SUM(C6:C59)</f>
        <v>869654</v>
      </c>
      <c r="D5" s="9">
        <f t="shared" si="0"/>
        <v>867862</v>
      </c>
      <c r="E5" s="9">
        <f t="shared" si="0"/>
        <v>860970</v>
      </c>
      <c r="F5" s="9">
        <f t="shared" si="0"/>
        <v>852771</v>
      </c>
      <c r="G5" s="9">
        <f t="shared" si="0"/>
        <v>848807</v>
      </c>
      <c r="H5" s="9">
        <f t="shared" si="0"/>
        <v>841955</v>
      </c>
      <c r="I5" s="9">
        <f t="shared" si="0"/>
        <v>840761</v>
      </c>
      <c r="J5" s="9">
        <f t="shared" si="0"/>
        <v>836333</v>
      </c>
      <c r="K5" s="9">
        <f t="shared" si="0"/>
        <v>834883</v>
      </c>
      <c r="L5" s="9">
        <f t="shared" si="0"/>
        <v>833388</v>
      </c>
      <c r="M5" s="9">
        <f t="shared" si="0"/>
        <v>832409</v>
      </c>
      <c r="N5" s="9">
        <f t="shared" si="0"/>
        <v>834500</v>
      </c>
      <c r="O5" s="9">
        <f t="shared" si="0"/>
        <v>816704</v>
      </c>
      <c r="P5" s="10">
        <f t="shared" si="0"/>
        <v>807979</v>
      </c>
      <c r="Q5" s="10">
        <f>AVERAGE(B5:M5)</f>
        <v>849457.83333333337</v>
      </c>
      <c r="R5" s="11">
        <f>AVERAGE(E5:P5)</f>
        <v>836788.33333333337</v>
      </c>
    </row>
    <row r="6" spans="1:18" x14ac:dyDescent="0.2">
      <c r="A6" s="13" t="s">
        <v>3</v>
      </c>
      <c r="B6" s="14">
        <v>6163</v>
      </c>
      <c r="C6" s="14">
        <v>6226</v>
      </c>
      <c r="D6" s="14">
        <v>6285</v>
      </c>
      <c r="E6" s="14">
        <v>6146</v>
      </c>
      <c r="F6" s="14">
        <v>6055</v>
      </c>
      <c r="G6" s="14">
        <v>5918</v>
      </c>
      <c r="H6" s="14">
        <v>5789</v>
      </c>
      <c r="I6" s="14">
        <v>5801</v>
      </c>
      <c r="J6" s="14">
        <v>5788</v>
      </c>
      <c r="K6" s="14">
        <v>5795</v>
      </c>
      <c r="L6" s="14">
        <v>5902</v>
      </c>
      <c r="M6" s="14">
        <v>5929</v>
      </c>
      <c r="N6" s="14">
        <v>5982</v>
      </c>
      <c r="O6" s="14">
        <v>5880</v>
      </c>
      <c r="P6" s="14">
        <v>5864</v>
      </c>
      <c r="Q6" s="15">
        <f t="shared" ref="Q6:Q59" si="1">AVERAGE(B6:M6)</f>
        <v>5983.083333333333</v>
      </c>
      <c r="R6" s="16">
        <f t="shared" ref="R6:R59" si="2">AVERAGE(E6:P6)</f>
        <v>5904.083333333333</v>
      </c>
    </row>
    <row r="7" spans="1:18" x14ac:dyDescent="0.2">
      <c r="A7" s="13" t="s">
        <v>4</v>
      </c>
      <c r="B7" s="14">
        <v>1020</v>
      </c>
      <c r="C7" s="14">
        <v>992</v>
      </c>
      <c r="D7" s="14">
        <v>938</v>
      </c>
      <c r="E7" s="14">
        <v>1046</v>
      </c>
      <c r="F7" s="14">
        <v>1011</v>
      </c>
      <c r="G7" s="14">
        <v>1038</v>
      </c>
      <c r="H7" s="18">
        <v>1053</v>
      </c>
      <c r="I7" s="18">
        <v>1049</v>
      </c>
      <c r="J7" s="18">
        <v>1004</v>
      </c>
      <c r="K7" s="14">
        <v>1020</v>
      </c>
      <c r="L7" s="14">
        <v>992</v>
      </c>
      <c r="M7" s="14">
        <v>938</v>
      </c>
      <c r="N7" s="14">
        <v>880</v>
      </c>
      <c r="O7" s="14">
        <v>804</v>
      </c>
      <c r="P7" s="14">
        <v>755</v>
      </c>
      <c r="Q7" s="15">
        <f t="shared" si="1"/>
        <v>1008.4166666666666</v>
      </c>
      <c r="R7" s="16">
        <f t="shared" si="2"/>
        <v>965.83333333333337</v>
      </c>
    </row>
    <row r="8" spans="1:18" x14ac:dyDescent="0.2">
      <c r="A8" s="13" t="s">
        <v>5</v>
      </c>
      <c r="B8" s="14">
        <v>4348</v>
      </c>
      <c r="C8" s="14">
        <v>4290</v>
      </c>
      <c r="D8" s="14">
        <v>4279</v>
      </c>
      <c r="E8" s="14">
        <v>4161</v>
      </c>
      <c r="F8" s="14">
        <v>4022</v>
      </c>
      <c r="G8" s="14">
        <v>3958</v>
      </c>
      <c r="H8" s="14">
        <v>3821</v>
      </c>
      <c r="I8" s="14">
        <v>3730</v>
      </c>
      <c r="J8" s="14">
        <v>3598</v>
      </c>
      <c r="K8" s="14">
        <v>3493</v>
      </c>
      <c r="L8" s="14">
        <v>3453</v>
      </c>
      <c r="M8" s="14">
        <v>3250</v>
      </c>
      <c r="N8" s="14">
        <v>3018</v>
      </c>
      <c r="O8" s="14">
        <v>2798</v>
      </c>
      <c r="P8" s="14">
        <v>2602</v>
      </c>
      <c r="Q8" s="15">
        <f t="shared" si="1"/>
        <v>3866.9166666666665</v>
      </c>
      <c r="R8" s="16">
        <f t="shared" si="2"/>
        <v>3492</v>
      </c>
    </row>
    <row r="9" spans="1:18" x14ac:dyDescent="0.2">
      <c r="A9" s="13" t="s">
        <v>6</v>
      </c>
      <c r="B9" s="14">
        <v>734</v>
      </c>
      <c r="C9" s="14">
        <v>729</v>
      </c>
      <c r="D9" s="14">
        <v>748</v>
      </c>
      <c r="E9" s="14">
        <v>729</v>
      </c>
      <c r="F9" s="14">
        <v>712</v>
      </c>
      <c r="G9" s="14">
        <v>687</v>
      </c>
      <c r="H9" s="19">
        <v>685</v>
      </c>
      <c r="I9" s="19">
        <v>719</v>
      </c>
      <c r="J9" s="19">
        <v>747</v>
      </c>
      <c r="K9" s="14">
        <v>752</v>
      </c>
      <c r="L9" s="14">
        <v>764</v>
      </c>
      <c r="M9" s="14">
        <v>835</v>
      </c>
      <c r="N9" s="14">
        <v>861</v>
      </c>
      <c r="O9" s="14">
        <v>812</v>
      </c>
      <c r="P9" s="14">
        <v>821</v>
      </c>
      <c r="Q9" s="15">
        <f t="shared" si="1"/>
        <v>736.75</v>
      </c>
      <c r="R9" s="16">
        <f t="shared" si="2"/>
        <v>760.33333333333337</v>
      </c>
    </row>
    <row r="10" spans="1:18" x14ac:dyDescent="0.2">
      <c r="A10" s="13" t="s">
        <v>7</v>
      </c>
      <c r="B10" s="14">
        <v>308700</v>
      </c>
      <c r="C10" s="14">
        <v>307607</v>
      </c>
      <c r="D10" s="14">
        <v>307633</v>
      </c>
      <c r="E10" s="14">
        <v>307318</v>
      </c>
      <c r="F10" s="14">
        <v>307399</v>
      </c>
      <c r="G10" s="14">
        <v>305675</v>
      </c>
      <c r="H10" s="19">
        <v>304568</v>
      </c>
      <c r="I10" s="19">
        <v>304149</v>
      </c>
      <c r="J10" s="19">
        <v>302539</v>
      </c>
      <c r="K10" s="14">
        <v>301169</v>
      </c>
      <c r="L10" s="14">
        <v>299729</v>
      </c>
      <c r="M10" s="14">
        <v>298223</v>
      </c>
      <c r="N10" s="14">
        <v>303895</v>
      </c>
      <c r="O10" s="14">
        <v>296566</v>
      </c>
      <c r="P10" s="20">
        <v>294561</v>
      </c>
      <c r="Q10" s="15">
        <f t="shared" si="1"/>
        <v>304559.08333333331</v>
      </c>
      <c r="R10" s="16">
        <f t="shared" si="2"/>
        <v>302149.25</v>
      </c>
    </row>
    <row r="11" spans="1:18" x14ac:dyDescent="0.2">
      <c r="A11" s="13" t="s">
        <v>8</v>
      </c>
      <c r="B11" s="14">
        <v>14711</v>
      </c>
      <c r="C11" s="14">
        <v>14721</v>
      </c>
      <c r="D11" s="14">
        <v>14805</v>
      </c>
      <c r="E11" s="14">
        <v>13252</v>
      </c>
      <c r="F11" s="14">
        <v>13544</v>
      </c>
      <c r="G11" s="14">
        <v>13514</v>
      </c>
      <c r="H11" s="14">
        <v>13336</v>
      </c>
      <c r="I11" s="14">
        <v>12863</v>
      </c>
      <c r="J11" s="14">
        <v>12687</v>
      </c>
      <c r="K11" s="14">
        <v>12989</v>
      </c>
      <c r="L11" s="14">
        <v>13424</v>
      </c>
      <c r="M11" s="14">
        <v>13603</v>
      </c>
      <c r="N11" s="14">
        <v>13873</v>
      </c>
      <c r="O11" s="14">
        <v>13331</v>
      </c>
      <c r="P11" s="14">
        <v>12650</v>
      </c>
      <c r="Q11" s="15">
        <f t="shared" si="1"/>
        <v>13620.75</v>
      </c>
      <c r="R11" s="16">
        <f t="shared" si="2"/>
        <v>13255.5</v>
      </c>
    </row>
    <row r="12" spans="1:18" x14ac:dyDescent="0.2">
      <c r="A12" s="13" t="s">
        <v>9</v>
      </c>
      <c r="B12" s="14">
        <v>5541</v>
      </c>
      <c r="C12" s="14">
        <v>5465</v>
      </c>
      <c r="D12" s="14">
        <v>5367</v>
      </c>
      <c r="E12" s="14">
        <v>5312</v>
      </c>
      <c r="F12" s="14">
        <v>5281</v>
      </c>
      <c r="G12" s="14">
        <v>5172</v>
      </c>
      <c r="H12" s="18">
        <v>5028</v>
      </c>
      <c r="I12" s="18">
        <v>4950</v>
      </c>
      <c r="J12" s="18">
        <v>4908</v>
      </c>
      <c r="K12" s="14">
        <v>4836</v>
      </c>
      <c r="L12" s="14">
        <v>4830</v>
      </c>
      <c r="M12" s="14">
        <v>4854</v>
      </c>
      <c r="N12" s="14">
        <v>4787</v>
      </c>
      <c r="O12" s="14">
        <v>4724</v>
      </c>
      <c r="P12" s="14">
        <v>4579</v>
      </c>
      <c r="Q12" s="15">
        <f t="shared" si="1"/>
        <v>5128.666666666667</v>
      </c>
      <c r="R12" s="16">
        <f t="shared" si="2"/>
        <v>4938.416666666667</v>
      </c>
    </row>
    <row r="13" spans="1:18" x14ac:dyDescent="0.2">
      <c r="A13" s="13" t="s">
        <v>10</v>
      </c>
      <c r="B13" s="14">
        <v>2540</v>
      </c>
      <c r="C13" s="14">
        <v>2507</v>
      </c>
      <c r="D13" s="14">
        <v>2471</v>
      </c>
      <c r="E13" s="14">
        <v>2419</v>
      </c>
      <c r="F13" s="14">
        <v>2382</v>
      </c>
      <c r="G13" s="14">
        <v>2347</v>
      </c>
      <c r="H13" s="14">
        <v>2295</v>
      </c>
      <c r="I13" s="14">
        <v>2311</v>
      </c>
      <c r="J13" s="14">
        <v>2313</v>
      </c>
      <c r="K13" s="14">
        <v>2284</v>
      </c>
      <c r="L13" s="14">
        <v>2267</v>
      </c>
      <c r="M13" s="14">
        <v>2274</v>
      </c>
      <c r="N13" s="14">
        <v>2260</v>
      </c>
      <c r="O13" s="14">
        <v>2188</v>
      </c>
      <c r="P13" s="14">
        <v>2175</v>
      </c>
      <c r="Q13" s="15">
        <f t="shared" si="1"/>
        <v>2367.5</v>
      </c>
      <c r="R13" s="16">
        <f t="shared" si="2"/>
        <v>2292.9166666666665</v>
      </c>
    </row>
    <row r="14" spans="1:18" x14ac:dyDescent="0.2">
      <c r="A14" s="13" t="s">
        <v>11</v>
      </c>
      <c r="B14" s="14">
        <v>5511</v>
      </c>
      <c r="C14" s="14">
        <v>5834</v>
      </c>
      <c r="D14" s="14">
        <v>5896</v>
      </c>
      <c r="E14" s="14">
        <v>5706</v>
      </c>
      <c r="F14" s="14">
        <v>6030</v>
      </c>
      <c r="G14" s="14">
        <v>5947</v>
      </c>
      <c r="H14" s="14">
        <v>5932</v>
      </c>
      <c r="I14" s="14">
        <v>5642</v>
      </c>
      <c r="J14" s="14">
        <v>5761</v>
      </c>
      <c r="K14" s="14">
        <v>6507</v>
      </c>
      <c r="L14" s="14">
        <v>6221</v>
      </c>
      <c r="M14" s="14">
        <v>5584</v>
      </c>
      <c r="N14" s="14">
        <v>3212</v>
      </c>
      <c r="O14" s="14">
        <v>2868</v>
      </c>
      <c r="P14" s="14">
        <v>2856</v>
      </c>
      <c r="Q14" s="15">
        <f t="shared" si="1"/>
        <v>5880.916666666667</v>
      </c>
      <c r="R14" s="16">
        <f t="shared" si="2"/>
        <v>5188.833333333333</v>
      </c>
    </row>
    <row r="15" spans="1:18" x14ac:dyDescent="0.2">
      <c r="A15" s="13" t="s">
        <v>12</v>
      </c>
      <c r="B15" s="14">
        <v>26825</v>
      </c>
      <c r="C15" s="14">
        <v>26324</v>
      </c>
      <c r="D15" s="14">
        <v>26106</v>
      </c>
      <c r="E15" s="14">
        <v>25346</v>
      </c>
      <c r="F15" s="14">
        <v>23468</v>
      </c>
      <c r="G15" s="14">
        <v>22833</v>
      </c>
      <c r="H15" s="19">
        <v>21496</v>
      </c>
      <c r="I15" s="19">
        <v>20649</v>
      </c>
      <c r="J15" s="19">
        <v>19877</v>
      </c>
      <c r="K15" s="14">
        <v>19248</v>
      </c>
      <c r="L15" s="14">
        <v>18269</v>
      </c>
      <c r="M15" s="14">
        <v>17624</v>
      </c>
      <c r="N15" s="14">
        <v>17272</v>
      </c>
      <c r="O15" s="14">
        <v>17214</v>
      </c>
      <c r="P15" s="14">
        <v>16563</v>
      </c>
      <c r="Q15" s="15">
        <f t="shared" si="1"/>
        <v>22338.75</v>
      </c>
      <c r="R15" s="16">
        <f t="shared" si="2"/>
        <v>19988.25</v>
      </c>
    </row>
    <row r="16" spans="1:18" x14ac:dyDescent="0.2">
      <c r="A16" s="13" t="s">
        <v>13</v>
      </c>
      <c r="B16" s="14">
        <v>3846</v>
      </c>
      <c r="C16" s="14">
        <v>3812</v>
      </c>
      <c r="D16" s="14">
        <v>3858</v>
      </c>
      <c r="E16" s="14">
        <v>3800</v>
      </c>
      <c r="F16" s="14">
        <v>3766</v>
      </c>
      <c r="G16" s="14">
        <v>3715</v>
      </c>
      <c r="H16" s="14">
        <v>3681</v>
      </c>
      <c r="I16" s="14">
        <v>3597</v>
      </c>
      <c r="J16" s="14">
        <v>3581</v>
      </c>
      <c r="K16" s="14">
        <v>3591</v>
      </c>
      <c r="L16" s="14">
        <v>3548</v>
      </c>
      <c r="M16" s="14">
        <v>3537</v>
      </c>
      <c r="N16" s="14">
        <v>3480</v>
      </c>
      <c r="O16" s="14">
        <v>3397</v>
      </c>
      <c r="P16" s="14">
        <v>3420</v>
      </c>
      <c r="Q16" s="15">
        <f t="shared" si="1"/>
        <v>3694.3333333333335</v>
      </c>
      <c r="R16" s="16">
        <f t="shared" si="2"/>
        <v>3592.75</v>
      </c>
    </row>
    <row r="17" spans="1:18" x14ac:dyDescent="0.2">
      <c r="A17" s="13" t="s">
        <v>14</v>
      </c>
      <c r="B17" s="14">
        <v>200</v>
      </c>
      <c r="C17" s="14">
        <v>200</v>
      </c>
      <c r="D17" s="14">
        <v>197</v>
      </c>
      <c r="E17" s="21">
        <v>199</v>
      </c>
      <c r="F17" s="21">
        <v>204</v>
      </c>
      <c r="G17" s="21">
        <v>207</v>
      </c>
      <c r="H17" s="22">
        <v>208</v>
      </c>
      <c r="I17" s="22">
        <v>218</v>
      </c>
      <c r="J17" s="19">
        <v>231</v>
      </c>
      <c r="K17" s="14">
        <v>225</v>
      </c>
      <c r="L17" s="14">
        <v>223</v>
      </c>
      <c r="M17" s="14">
        <v>209</v>
      </c>
      <c r="N17" s="14">
        <v>205</v>
      </c>
      <c r="O17" s="14">
        <v>188</v>
      </c>
      <c r="P17" s="14">
        <v>183</v>
      </c>
      <c r="Q17" s="15">
        <f t="shared" si="1"/>
        <v>210.08333333333334</v>
      </c>
      <c r="R17" s="16">
        <f t="shared" si="2"/>
        <v>208.33333333333334</v>
      </c>
    </row>
    <row r="18" spans="1:18" x14ac:dyDescent="0.2">
      <c r="A18" s="13" t="s">
        <v>15</v>
      </c>
      <c r="B18" s="14">
        <v>1891</v>
      </c>
      <c r="C18" s="14">
        <v>1882</v>
      </c>
      <c r="D18" s="14">
        <v>1828</v>
      </c>
      <c r="E18" s="14">
        <v>1809</v>
      </c>
      <c r="F18" s="14">
        <v>1774</v>
      </c>
      <c r="G18" s="14">
        <v>1772</v>
      </c>
      <c r="H18" s="14">
        <v>1755</v>
      </c>
      <c r="I18" s="14">
        <v>1771</v>
      </c>
      <c r="J18" s="14">
        <v>1761</v>
      </c>
      <c r="K18" s="14">
        <v>1734</v>
      </c>
      <c r="L18" s="14">
        <v>1763</v>
      </c>
      <c r="M18" s="14">
        <v>1816</v>
      </c>
      <c r="N18" s="14">
        <v>1830</v>
      </c>
      <c r="O18" s="14">
        <v>1807</v>
      </c>
      <c r="P18" s="14">
        <v>1814</v>
      </c>
      <c r="Q18" s="15">
        <f t="shared" si="1"/>
        <v>1796.3333333333333</v>
      </c>
      <c r="R18" s="16">
        <f t="shared" si="2"/>
        <v>1783.8333333333333</v>
      </c>
    </row>
    <row r="19" spans="1:18" x14ac:dyDescent="0.2">
      <c r="A19" s="13" t="s">
        <v>16</v>
      </c>
      <c r="B19" s="14">
        <v>1479</v>
      </c>
      <c r="C19" s="21">
        <v>1482</v>
      </c>
      <c r="D19" s="21">
        <v>1455</v>
      </c>
      <c r="E19" s="14">
        <v>1466</v>
      </c>
      <c r="F19" s="14">
        <v>1471</v>
      </c>
      <c r="G19" s="14">
        <v>1455</v>
      </c>
      <c r="H19" s="14">
        <v>1454</v>
      </c>
      <c r="I19" s="14">
        <v>1438</v>
      </c>
      <c r="J19" s="14">
        <v>1429</v>
      </c>
      <c r="K19" s="14">
        <v>1403</v>
      </c>
      <c r="L19" s="14">
        <v>1392</v>
      </c>
      <c r="M19" s="14">
        <v>1373</v>
      </c>
      <c r="N19" s="14">
        <v>1363</v>
      </c>
      <c r="O19" s="14">
        <v>1333</v>
      </c>
      <c r="P19" s="14">
        <v>1323</v>
      </c>
      <c r="Q19" s="15">
        <f t="shared" si="1"/>
        <v>1441.4166666666667</v>
      </c>
      <c r="R19" s="16">
        <f t="shared" si="2"/>
        <v>1408.3333333333333</v>
      </c>
    </row>
    <row r="20" spans="1:18" x14ac:dyDescent="0.2">
      <c r="A20" s="13" t="s">
        <v>17</v>
      </c>
      <c r="B20" s="14">
        <v>9913</v>
      </c>
      <c r="C20" s="14">
        <v>10043</v>
      </c>
      <c r="D20" s="14">
        <v>10025</v>
      </c>
      <c r="E20" s="14">
        <v>9875</v>
      </c>
      <c r="F20" s="14">
        <v>9844</v>
      </c>
      <c r="G20" s="14">
        <v>9939</v>
      </c>
      <c r="H20" s="14">
        <v>10266</v>
      </c>
      <c r="I20" s="14">
        <v>10463</v>
      </c>
      <c r="J20" s="14">
        <v>10523</v>
      </c>
      <c r="K20" s="14">
        <v>10682</v>
      </c>
      <c r="L20" s="14">
        <v>10909</v>
      </c>
      <c r="M20" s="14">
        <v>10973</v>
      </c>
      <c r="N20" s="14">
        <v>11168</v>
      </c>
      <c r="O20" s="14">
        <v>11376</v>
      </c>
      <c r="P20" s="14">
        <v>11107</v>
      </c>
      <c r="Q20" s="15">
        <f t="shared" si="1"/>
        <v>10287.916666666666</v>
      </c>
      <c r="R20" s="16">
        <f t="shared" si="2"/>
        <v>10593.75</v>
      </c>
    </row>
    <row r="21" spans="1:18" x14ac:dyDescent="0.2">
      <c r="A21" s="13" t="s">
        <v>18</v>
      </c>
      <c r="B21" s="14">
        <v>5748</v>
      </c>
      <c r="C21" s="14">
        <v>5771</v>
      </c>
      <c r="D21" s="14">
        <v>5718</v>
      </c>
      <c r="E21" s="14">
        <v>5494</v>
      </c>
      <c r="F21" s="14">
        <v>5414</v>
      </c>
      <c r="G21" s="14">
        <v>5348</v>
      </c>
      <c r="H21" s="14">
        <v>5022</v>
      </c>
      <c r="I21" s="14">
        <v>4975</v>
      </c>
      <c r="J21" s="14">
        <v>4913</v>
      </c>
      <c r="K21" s="14">
        <v>4965</v>
      </c>
      <c r="L21" s="14">
        <v>5002</v>
      </c>
      <c r="M21" s="14">
        <v>5026</v>
      </c>
      <c r="N21" s="14">
        <v>5088</v>
      </c>
      <c r="O21" s="14">
        <v>4943</v>
      </c>
      <c r="P21" s="14">
        <v>4811</v>
      </c>
      <c r="Q21" s="15">
        <f t="shared" si="1"/>
        <v>5283</v>
      </c>
      <c r="R21" s="16">
        <f t="shared" si="2"/>
        <v>5083.416666666667</v>
      </c>
    </row>
    <row r="22" spans="1:18" x14ac:dyDescent="0.2">
      <c r="A22" s="13" t="s">
        <v>19</v>
      </c>
      <c r="B22" s="14">
        <v>4244</v>
      </c>
      <c r="C22" s="14">
        <v>4186</v>
      </c>
      <c r="D22" s="14">
        <v>4143</v>
      </c>
      <c r="E22" s="14">
        <v>4067</v>
      </c>
      <c r="F22" s="14">
        <v>4065</v>
      </c>
      <c r="G22" s="14">
        <v>4078</v>
      </c>
      <c r="H22" s="19">
        <v>4118</v>
      </c>
      <c r="I22" s="19">
        <v>4162</v>
      </c>
      <c r="J22" s="19">
        <v>4101</v>
      </c>
      <c r="K22" s="14">
        <v>4067</v>
      </c>
      <c r="L22" s="14">
        <v>4063</v>
      </c>
      <c r="M22" s="14">
        <v>3985</v>
      </c>
      <c r="N22" s="14">
        <v>3939</v>
      </c>
      <c r="O22" s="14">
        <v>3749</v>
      </c>
      <c r="P22" s="14">
        <v>3731</v>
      </c>
      <c r="Q22" s="15">
        <f t="shared" si="1"/>
        <v>4106.583333333333</v>
      </c>
      <c r="R22" s="16">
        <f t="shared" si="2"/>
        <v>4010.4166666666665</v>
      </c>
    </row>
    <row r="23" spans="1:18" x14ac:dyDescent="0.2">
      <c r="A23" s="13" t="s">
        <v>20</v>
      </c>
      <c r="B23" s="14">
        <v>2908</v>
      </c>
      <c r="C23" s="14">
        <v>2863</v>
      </c>
      <c r="D23" s="14">
        <v>2888</v>
      </c>
      <c r="E23" s="14">
        <v>2830</v>
      </c>
      <c r="F23" s="14">
        <v>2823</v>
      </c>
      <c r="G23" s="14">
        <v>2781</v>
      </c>
      <c r="H23" s="19">
        <v>2708</v>
      </c>
      <c r="I23" s="19">
        <v>2704</v>
      </c>
      <c r="J23" s="19">
        <v>2665</v>
      </c>
      <c r="K23" s="14">
        <v>2806</v>
      </c>
      <c r="L23" s="14">
        <v>2838</v>
      </c>
      <c r="M23" s="14">
        <v>2831</v>
      </c>
      <c r="N23" s="14">
        <v>2815</v>
      </c>
      <c r="O23" s="14">
        <v>2730</v>
      </c>
      <c r="P23" s="14">
        <v>2617</v>
      </c>
      <c r="Q23" s="15">
        <f t="shared" si="1"/>
        <v>2803.75</v>
      </c>
      <c r="R23" s="16">
        <f t="shared" si="2"/>
        <v>2762.3333333333335</v>
      </c>
    </row>
    <row r="24" spans="1:18" x14ac:dyDescent="0.2">
      <c r="A24" s="13" t="s">
        <v>21</v>
      </c>
      <c r="B24" s="14">
        <v>16135</v>
      </c>
      <c r="C24" s="14">
        <v>16131</v>
      </c>
      <c r="D24" s="14">
        <v>16188</v>
      </c>
      <c r="E24" s="14">
        <v>16151</v>
      </c>
      <c r="F24" s="14">
        <v>16025</v>
      </c>
      <c r="G24" s="14">
        <v>15893</v>
      </c>
      <c r="H24" s="18">
        <v>15740</v>
      </c>
      <c r="I24" s="18">
        <v>15697</v>
      </c>
      <c r="J24" s="18">
        <v>15416</v>
      </c>
      <c r="K24" s="14">
        <v>15046</v>
      </c>
      <c r="L24" s="14">
        <v>15605</v>
      </c>
      <c r="M24" s="14">
        <v>15685</v>
      </c>
      <c r="N24" s="14">
        <v>15731</v>
      </c>
      <c r="O24" s="14">
        <v>15243</v>
      </c>
      <c r="P24" s="14">
        <v>14821</v>
      </c>
      <c r="Q24" s="15">
        <f t="shared" si="1"/>
        <v>15809.333333333334</v>
      </c>
      <c r="R24" s="16">
        <f t="shared" si="2"/>
        <v>15587.75</v>
      </c>
    </row>
    <row r="25" spans="1:18" x14ac:dyDescent="0.2">
      <c r="A25" s="13" t="s">
        <v>22</v>
      </c>
      <c r="B25" s="14">
        <v>4963</v>
      </c>
      <c r="C25" s="14">
        <v>5085</v>
      </c>
      <c r="D25" s="14">
        <v>5153</v>
      </c>
      <c r="E25" s="14">
        <v>4927</v>
      </c>
      <c r="F25" s="14">
        <v>4685</v>
      </c>
      <c r="G25" s="14">
        <v>4595</v>
      </c>
      <c r="H25" s="19">
        <v>4587</v>
      </c>
      <c r="I25" s="19">
        <v>4492</v>
      </c>
      <c r="J25" s="19">
        <v>4466</v>
      </c>
      <c r="K25" s="14">
        <v>4540</v>
      </c>
      <c r="L25" s="14">
        <v>4553</v>
      </c>
      <c r="M25" s="14">
        <v>4571</v>
      </c>
      <c r="N25" s="14">
        <v>4443</v>
      </c>
      <c r="O25" s="14">
        <v>4316</v>
      </c>
      <c r="P25" s="14">
        <v>4249</v>
      </c>
      <c r="Q25" s="15">
        <f t="shared" si="1"/>
        <v>4718.083333333333</v>
      </c>
      <c r="R25" s="16">
        <f t="shared" si="2"/>
        <v>4535.333333333333</v>
      </c>
    </row>
    <row r="26" spans="1:18" x14ac:dyDescent="0.2">
      <c r="A26" s="13" t="s">
        <v>23</v>
      </c>
      <c r="B26" s="14">
        <v>3929</v>
      </c>
      <c r="C26" s="14">
        <v>3923</v>
      </c>
      <c r="D26" s="14">
        <v>3933</v>
      </c>
      <c r="E26" s="14">
        <v>3910</v>
      </c>
      <c r="F26" s="14">
        <v>4036</v>
      </c>
      <c r="G26" s="14">
        <v>4024</v>
      </c>
      <c r="H26" s="14">
        <v>4006</v>
      </c>
      <c r="I26" s="14">
        <v>4013</v>
      </c>
      <c r="J26" s="14">
        <v>4086</v>
      </c>
      <c r="K26" s="14">
        <v>4145</v>
      </c>
      <c r="L26" s="14">
        <v>4165</v>
      </c>
      <c r="M26" s="14">
        <v>4209</v>
      </c>
      <c r="N26" s="14">
        <v>4245</v>
      </c>
      <c r="O26" s="14">
        <v>4210</v>
      </c>
      <c r="P26" s="14">
        <v>4160</v>
      </c>
      <c r="Q26" s="15">
        <f t="shared" si="1"/>
        <v>4031.5833333333335</v>
      </c>
      <c r="R26" s="16">
        <f t="shared" si="2"/>
        <v>4100.75</v>
      </c>
    </row>
    <row r="27" spans="1:18" x14ac:dyDescent="0.2">
      <c r="A27" s="13" t="s">
        <v>24</v>
      </c>
      <c r="B27" s="14">
        <v>14774</v>
      </c>
      <c r="C27" s="14">
        <v>14535</v>
      </c>
      <c r="D27" s="14">
        <v>14752</v>
      </c>
      <c r="E27" s="14">
        <v>14495</v>
      </c>
      <c r="F27" s="14">
        <v>14463</v>
      </c>
      <c r="G27" s="14">
        <v>13975</v>
      </c>
      <c r="H27" s="18">
        <v>13725</v>
      </c>
      <c r="I27" s="18">
        <v>13781</v>
      </c>
      <c r="J27" s="18">
        <v>13849</v>
      </c>
      <c r="K27" s="20">
        <v>13981</v>
      </c>
      <c r="L27" s="20">
        <v>13844</v>
      </c>
      <c r="M27" s="20">
        <v>14074</v>
      </c>
      <c r="N27" s="14">
        <v>13886</v>
      </c>
      <c r="O27" s="14">
        <v>13337</v>
      </c>
      <c r="P27" s="14">
        <v>13382</v>
      </c>
      <c r="Q27" s="15">
        <f t="shared" si="1"/>
        <v>14187.333333333334</v>
      </c>
      <c r="R27" s="16">
        <f t="shared" si="2"/>
        <v>13899.333333333334</v>
      </c>
    </row>
    <row r="28" spans="1:18" x14ac:dyDescent="0.2">
      <c r="A28" s="13" t="s">
        <v>25</v>
      </c>
      <c r="B28" s="14">
        <v>38454</v>
      </c>
      <c r="C28" s="14">
        <v>38332</v>
      </c>
      <c r="D28" s="14">
        <v>38193</v>
      </c>
      <c r="E28" s="14">
        <v>37853</v>
      </c>
      <c r="F28" s="14">
        <v>37446</v>
      </c>
      <c r="G28" s="14">
        <v>37016</v>
      </c>
      <c r="H28" s="14">
        <v>36651</v>
      </c>
      <c r="I28" s="14">
        <v>36786</v>
      </c>
      <c r="J28" s="14">
        <v>36597</v>
      </c>
      <c r="K28" s="14">
        <v>36648</v>
      </c>
      <c r="L28" s="14">
        <v>37161</v>
      </c>
      <c r="M28" s="14">
        <v>37463</v>
      </c>
      <c r="N28" s="14">
        <v>37213</v>
      </c>
      <c r="O28" s="14">
        <v>36358</v>
      </c>
      <c r="P28" s="14">
        <v>35802</v>
      </c>
      <c r="Q28" s="15">
        <f t="shared" si="1"/>
        <v>37383.333333333336</v>
      </c>
      <c r="R28" s="16">
        <f t="shared" si="2"/>
        <v>36916.166666666664</v>
      </c>
    </row>
    <row r="29" spans="1:18" x14ac:dyDescent="0.2">
      <c r="A29" s="13" t="s">
        <v>26</v>
      </c>
      <c r="B29" s="14">
        <v>8267</v>
      </c>
      <c r="C29" s="14">
        <v>8261</v>
      </c>
      <c r="D29" s="14">
        <v>8284</v>
      </c>
      <c r="E29" s="14">
        <v>8529</v>
      </c>
      <c r="F29" s="14">
        <v>8551</v>
      </c>
      <c r="G29" s="14">
        <v>8528</v>
      </c>
      <c r="H29" s="19">
        <v>8217</v>
      </c>
      <c r="I29" s="19">
        <v>8377</v>
      </c>
      <c r="J29" s="19">
        <v>8744</v>
      </c>
      <c r="K29" s="14">
        <v>8839</v>
      </c>
      <c r="L29" s="14">
        <v>9023</v>
      </c>
      <c r="M29" s="14">
        <v>9703</v>
      </c>
      <c r="N29" s="14">
        <v>9811</v>
      </c>
      <c r="O29" s="14">
        <v>9760</v>
      </c>
      <c r="P29" s="14">
        <v>9252</v>
      </c>
      <c r="Q29" s="15">
        <f t="shared" si="1"/>
        <v>8610.25</v>
      </c>
      <c r="R29" s="16">
        <f t="shared" si="2"/>
        <v>8944.5</v>
      </c>
    </row>
    <row r="30" spans="1:18" x14ac:dyDescent="0.2">
      <c r="A30" s="13" t="s">
        <v>27</v>
      </c>
      <c r="B30" s="14">
        <v>13187</v>
      </c>
      <c r="C30" s="14">
        <v>13141</v>
      </c>
      <c r="D30" s="14">
        <v>13131</v>
      </c>
      <c r="E30" s="14">
        <v>13152</v>
      </c>
      <c r="F30" s="14">
        <v>13072</v>
      </c>
      <c r="G30" s="14">
        <v>12903</v>
      </c>
      <c r="H30" s="19">
        <v>13073</v>
      </c>
      <c r="I30" s="19">
        <v>13260</v>
      </c>
      <c r="J30" s="19">
        <v>13409</v>
      </c>
      <c r="K30" s="14">
        <v>13426</v>
      </c>
      <c r="L30" s="14">
        <v>13634</v>
      </c>
      <c r="M30" s="14">
        <v>13602</v>
      </c>
      <c r="N30" s="14">
        <v>13433</v>
      </c>
      <c r="O30" s="14">
        <v>13263</v>
      </c>
      <c r="P30" s="14">
        <v>13350</v>
      </c>
      <c r="Q30" s="15">
        <f t="shared" si="1"/>
        <v>13249.166666666666</v>
      </c>
      <c r="R30" s="16">
        <f t="shared" si="2"/>
        <v>13298.083333333334</v>
      </c>
    </row>
    <row r="31" spans="1:18" x14ac:dyDescent="0.2">
      <c r="A31" s="13" t="s">
        <v>28</v>
      </c>
      <c r="B31" s="14">
        <v>1409</v>
      </c>
      <c r="C31" s="14">
        <v>1389</v>
      </c>
      <c r="D31" s="14">
        <v>1373</v>
      </c>
      <c r="E31" s="14">
        <v>1331</v>
      </c>
      <c r="F31" s="14">
        <v>1308</v>
      </c>
      <c r="G31" s="14">
        <v>1278</v>
      </c>
      <c r="H31" s="19">
        <v>1260</v>
      </c>
      <c r="I31" s="19">
        <v>1262</v>
      </c>
      <c r="J31" s="19">
        <v>1248</v>
      </c>
      <c r="K31" s="14">
        <v>1243</v>
      </c>
      <c r="L31" s="14">
        <v>1256</v>
      </c>
      <c r="M31" s="14">
        <v>1274</v>
      </c>
      <c r="N31" s="14">
        <v>1271</v>
      </c>
      <c r="O31" s="14">
        <v>1237</v>
      </c>
      <c r="P31" s="14">
        <v>1198</v>
      </c>
      <c r="Q31" s="15">
        <f t="shared" si="1"/>
        <v>1302.5833333333333</v>
      </c>
      <c r="R31" s="16">
        <f t="shared" si="2"/>
        <v>1263.8333333333333</v>
      </c>
    </row>
    <row r="32" spans="1:18" x14ac:dyDescent="0.2">
      <c r="A32" s="13" t="s">
        <v>29</v>
      </c>
      <c r="B32" s="14">
        <v>5113</v>
      </c>
      <c r="C32" s="14">
        <v>5010</v>
      </c>
      <c r="D32" s="14">
        <v>4994</v>
      </c>
      <c r="E32" s="14">
        <v>4849</v>
      </c>
      <c r="F32" s="14">
        <v>4749</v>
      </c>
      <c r="G32" s="14">
        <v>4670</v>
      </c>
      <c r="H32" s="18">
        <v>4549</v>
      </c>
      <c r="I32" s="18">
        <v>4502</v>
      </c>
      <c r="J32" s="18">
        <v>4529</v>
      </c>
      <c r="K32" s="14">
        <v>4556</v>
      </c>
      <c r="L32" s="14">
        <v>4529</v>
      </c>
      <c r="M32" s="14">
        <v>4577</v>
      </c>
      <c r="N32" s="14">
        <v>4549</v>
      </c>
      <c r="O32" s="14">
        <v>4402</v>
      </c>
      <c r="P32" s="14">
        <v>4233</v>
      </c>
      <c r="Q32" s="15">
        <f t="shared" si="1"/>
        <v>4718.916666666667</v>
      </c>
      <c r="R32" s="16">
        <f t="shared" si="2"/>
        <v>4557.833333333333</v>
      </c>
    </row>
    <row r="33" spans="1:18" x14ac:dyDescent="0.2">
      <c r="A33" s="13" t="s">
        <v>30</v>
      </c>
      <c r="B33" s="14">
        <v>1523</v>
      </c>
      <c r="C33" s="14">
        <v>1502</v>
      </c>
      <c r="D33" s="14">
        <v>1506</v>
      </c>
      <c r="E33" s="14">
        <v>1553</v>
      </c>
      <c r="F33" s="14">
        <v>1574</v>
      </c>
      <c r="G33" s="14">
        <v>1564</v>
      </c>
      <c r="H33" s="14">
        <v>1516</v>
      </c>
      <c r="I33" s="14">
        <v>1509</v>
      </c>
      <c r="J33" s="14">
        <v>1476</v>
      </c>
      <c r="K33" s="14">
        <v>1464</v>
      </c>
      <c r="L33" s="14">
        <v>1442</v>
      </c>
      <c r="M33" s="14">
        <v>1443</v>
      </c>
      <c r="N33" s="14">
        <v>1412</v>
      </c>
      <c r="O33" s="14">
        <v>1354</v>
      </c>
      <c r="P33" s="14">
        <v>1319</v>
      </c>
      <c r="Q33" s="15">
        <f t="shared" si="1"/>
        <v>1506</v>
      </c>
      <c r="R33" s="16">
        <f t="shared" si="2"/>
        <v>1468.8333333333333</v>
      </c>
    </row>
    <row r="34" spans="1:18" x14ac:dyDescent="0.2">
      <c r="A34" s="13" t="s">
        <v>31</v>
      </c>
      <c r="B34" s="14">
        <v>2751</v>
      </c>
      <c r="C34" s="14">
        <v>2630</v>
      </c>
      <c r="D34" s="14">
        <v>2499</v>
      </c>
      <c r="E34" s="14">
        <v>2374</v>
      </c>
      <c r="F34" s="14">
        <v>2385</v>
      </c>
      <c r="G34" s="14">
        <v>2287</v>
      </c>
      <c r="H34" s="14">
        <v>2219</v>
      </c>
      <c r="I34" s="14">
        <v>2227</v>
      </c>
      <c r="J34" s="14">
        <v>2197</v>
      </c>
      <c r="K34" s="14">
        <v>2200</v>
      </c>
      <c r="L34" s="14">
        <v>2232</v>
      </c>
      <c r="M34" s="14">
        <v>2205</v>
      </c>
      <c r="N34" s="14">
        <v>2195</v>
      </c>
      <c r="O34" s="14">
        <v>2114</v>
      </c>
      <c r="P34" s="14">
        <v>2067</v>
      </c>
      <c r="Q34" s="15">
        <f t="shared" si="1"/>
        <v>2350.5</v>
      </c>
      <c r="R34" s="16">
        <f t="shared" si="2"/>
        <v>2225.1666666666665</v>
      </c>
    </row>
    <row r="35" spans="1:18" x14ac:dyDescent="0.2">
      <c r="A35" s="13" t="s">
        <v>32</v>
      </c>
      <c r="B35" s="14">
        <v>5596</v>
      </c>
      <c r="C35" s="14">
        <v>5432</v>
      </c>
      <c r="D35" s="14">
        <v>5393</v>
      </c>
      <c r="E35" s="14">
        <v>5290</v>
      </c>
      <c r="F35" s="14">
        <v>5145</v>
      </c>
      <c r="G35" s="14">
        <v>5063</v>
      </c>
      <c r="H35" s="14">
        <v>4930</v>
      </c>
      <c r="I35" s="14">
        <v>4861</v>
      </c>
      <c r="J35" s="14">
        <v>4696</v>
      </c>
      <c r="K35" s="14">
        <v>4671</v>
      </c>
      <c r="L35" s="14">
        <v>4569</v>
      </c>
      <c r="M35" s="14">
        <v>4528</v>
      </c>
      <c r="N35" s="14">
        <v>4531</v>
      </c>
      <c r="O35" s="14">
        <v>4321</v>
      </c>
      <c r="P35" s="14">
        <v>4305</v>
      </c>
      <c r="Q35" s="15">
        <f t="shared" si="1"/>
        <v>5014.5</v>
      </c>
      <c r="R35" s="16">
        <f t="shared" si="2"/>
        <v>4742.5</v>
      </c>
    </row>
    <row r="36" spans="1:18" x14ac:dyDescent="0.2">
      <c r="A36" s="13" t="s">
        <v>33</v>
      </c>
      <c r="B36" s="14">
        <v>2475</v>
      </c>
      <c r="C36" s="14">
        <v>2441</v>
      </c>
      <c r="D36" s="14">
        <v>2448</v>
      </c>
      <c r="E36" s="14">
        <v>2454</v>
      </c>
      <c r="F36" s="14">
        <v>2439</v>
      </c>
      <c r="G36" s="14">
        <v>2408</v>
      </c>
      <c r="H36" s="14">
        <v>2395</v>
      </c>
      <c r="I36" s="14">
        <v>2406</v>
      </c>
      <c r="J36" s="14">
        <v>2419</v>
      </c>
      <c r="K36" s="14">
        <v>2404</v>
      </c>
      <c r="L36" s="14">
        <v>2395</v>
      </c>
      <c r="M36" s="14">
        <v>2391</v>
      </c>
      <c r="N36" s="14">
        <v>2403</v>
      </c>
      <c r="O36" s="14">
        <v>2362</v>
      </c>
      <c r="P36" s="14">
        <v>2342</v>
      </c>
      <c r="Q36" s="15">
        <f t="shared" si="1"/>
        <v>2422.9166666666665</v>
      </c>
      <c r="R36" s="16">
        <f t="shared" si="2"/>
        <v>2401.5</v>
      </c>
    </row>
    <row r="37" spans="1:18" x14ac:dyDescent="0.2">
      <c r="A37" s="13" t="s">
        <v>34</v>
      </c>
      <c r="B37" s="14">
        <v>9549</v>
      </c>
      <c r="C37" s="14">
        <v>9521</v>
      </c>
      <c r="D37" s="14">
        <v>9421</v>
      </c>
      <c r="E37" s="14">
        <v>9233</v>
      </c>
      <c r="F37" s="14">
        <v>9129</v>
      </c>
      <c r="G37" s="14">
        <v>8942</v>
      </c>
      <c r="H37" s="18">
        <v>8732</v>
      </c>
      <c r="I37" s="18">
        <v>8517</v>
      </c>
      <c r="J37" s="18">
        <v>8341</v>
      </c>
      <c r="K37" s="14">
        <v>8179</v>
      </c>
      <c r="L37" s="14">
        <v>7912</v>
      </c>
      <c r="M37" s="14">
        <v>8164</v>
      </c>
      <c r="N37" s="14">
        <v>8156</v>
      </c>
      <c r="O37" s="14">
        <v>7972</v>
      </c>
      <c r="P37" s="14">
        <v>7866</v>
      </c>
      <c r="Q37" s="15">
        <f t="shared" si="1"/>
        <v>8803.3333333333339</v>
      </c>
      <c r="R37" s="16">
        <f t="shared" si="2"/>
        <v>8428.5833333333339</v>
      </c>
    </row>
    <row r="38" spans="1:18" x14ac:dyDescent="0.2">
      <c r="A38" s="13" t="s">
        <v>35</v>
      </c>
      <c r="B38" s="14">
        <v>7705</v>
      </c>
      <c r="C38" s="14">
        <v>7394</v>
      </c>
      <c r="D38" s="14">
        <v>7269</v>
      </c>
      <c r="E38" s="14">
        <v>7220</v>
      </c>
      <c r="F38" s="14">
        <v>6985</v>
      </c>
      <c r="G38" s="14">
        <v>6803</v>
      </c>
      <c r="H38" s="14">
        <v>6655</v>
      </c>
      <c r="I38" s="14">
        <v>6515</v>
      </c>
      <c r="J38" s="14">
        <v>6468</v>
      </c>
      <c r="K38" s="14">
        <v>6566</v>
      </c>
      <c r="L38" s="14">
        <v>6683</v>
      </c>
      <c r="M38" s="14">
        <v>6705</v>
      </c>
      <c r="N38" s="14">
        <v>6673</v>
      </c>
      <c r="O38" s="14">
        <v>6446</v>
      </c>
      <c r="P38" s="14">
        <v>6361</v>
      </c>
      <c r="Q38" s="15">
        <f t="shared" si="1"/>
        <v>6914</v>
      </c>
      <c r="R38" s="16">
        <f t="shared" si="2"/>
        <v>6673.333333333333</v>
      </c>
    </row>
    <row r="39" spans="1:18" x14ac:dyDescent="0.2">
      <c r="A39" s="13" t="s">
        <v>36</v>
      </c>
      <c r="B39" s="14">
        <v>134685</v>
      </c>
      <c r="C39" s="14">
        <v>134423</v>
      </c>
      <c r="D39" s="14">
        <v>134018</v>
      </c>
      <c r="E39" s="14">
        <v>133691</v>
      </c>
      <c r="F39" s="14">
        <v>131322</v>
      </c>
      <c r="G39" s="14">
        <v>134430</v>
      </c>
      <c r="H39" s="19">
        <v>133600</v>
      </c>
      <c r="I39" s="19">
        <v>135249</v>
      </c>
      <c r="J39" s="19">
        <v>135114</v>
      </c>
      <c r="K39" s="14">
        <v>134351</v>
      </c>
      <c r="L39" s="14">
        <v>133291</v>
      </c>
      <c r="M39" s="14">
        <v>134074</v>
      </c>
      <c r="N39" s="20">
        <v>134336</v>
      </c>
      <c r="O39" s="20">
        <v>134187</v>
      </c>
      <c r="P39" s="20">
        <v>133912</v>
      </c>
      <c r="Q39" s="15">
        <f t="shared" si="1"/>
        <v>134020.66666666666</v>
      </c>
      <c r="R39" s="16">
        <f t="shared" si="2"/>
        <v>133963.08333333334</v>
      </c>
    </row>
    <row r="40" spans="1:18" x14ac:dyDescent="0.2">
      <c r="A40" s="13" t="s">
        <v>37</v>
      </c>
      <c r="B40" s="14">
        <v>6855</v>
      </c>
      <c r="C40" s="14">
        <v>6750</v>
      </c>
      <c r="D40" s="14">
        <v>6475</v>
      </c>
      <c r="E40" s="14">
        <v>6503</v>
      </c>
      <c r="F40" s="14">
        <v>6333</v>
      </c>
      <c r="G40" s="14">
        <v>6133</v>
      </c>
      <c r="H40" s="14">
        <v>6081</v>
      </c>
      <c r="I40" s="14">
        <v>6047</v>
      </c>
      <c r="J40" s="14">
        <v>5877</v>
      </c>
      <c r="K40" s="14">
        <v>5965</v>
      </c>
      <c r="L40" s="14">
        <v>5986</v>
      </c>
      <c r="M40" s="14">
        <v>5817</v>
      </c>
      <c r="N40" s="14">
        <v>5807</v>
      </c>
      <c r="O40" s="14">
        <v>5701</v>
      </c>
      <c r="P40" s="14">
        <v>5464</v>
      </c>
      <c r="Q40" s="15">
        <f t="shared" si="1"/>
        <v>6235.166666666667</v>
      </c>
      <c r="R40" s="16">
        <f t="shared" si="2"/>
        <v>5976.166666666667</v>
      </c>
    </row>
    <row r="41" spans="1:18" x14ac:dyDescent="0.2">
      <c r="A41" s="13" t="s">
        <v>38</v>
      </c>
      <c r="B41" s="14">
        <v>703</v>
      </c>
      <c r="C41" s="14">
        <v>709</v>
      </c>
      <c r="D41" s="14">
        <v>699</v>
      </c>
      <c r="E41" s="14">
        <v>719</v>
      </c>
      <c r="F41" s="14">
        <v>744</v>
      </c>
      <c r="G41" s="14">
        <v>723</v>
      </c>
      <c r="H41" s="14">
        <v>738</v>
      </c>
      <c r="I41" s="14">
        <v>717</v>
      </c>
      <c r="J41" s="14">
        <v>737</v>
      </c>
      <c r="K41" s="14">
        <v>743</v>
      </c>
      <c r="L41" s="14">
        <v>741</v>
      </c>
      <c r="M41" s="14">
        <v>749</v>
      </c>
      <c r="N41" s="14">
        <v>752</v>
      </c>
      <c r="O41" s="14">
        <v>737</v>
      </c>
      <c r="P41" s="14">
        <v>711</v>
      </c>
      <c r="Q41" s="15">
        <f t="shared" si="1"/>
        <v>726.83333333333337</v>
      </c>
      <c r="R41" s="16">
        <f t="shared" si="2"/>
        <v>734.25</v>
      </c>
    </row>
    <row r="42" spans="1:18" x14ac:dyDescent="0.2">
      <c r="A42" s="13" t="s">
        <v>39</v>
      </c>
      <c r="B42" s="14">
        <v>38669</v>
      </c>
      <c r="C42" s="14">
        <v>38436</v>
      </c>
      <c r="D42" s="14">
        <v>38189</v>
      </c>
      <c r="E42" s="14">
        <v>37377</v>
      </c>
      <c r="F42" s="14">
        <v>36795</v>
      </c>
      <c r="G42" s="14">
        <v>36534</v>
      </c>
      <c r="H42" s="14">
        <v>36203</v>
      </c>
      <c r="I42" s="14">
        <v>35879</v>
      </c>
      <c r="J42" s="14">
        <v>35487</v>
      </c>
      <c r="K42" s="14">
        <v>35680</v>
      </c>
      <c r="L42" s="14">
        <v>36162</v>
      </c>
      <c r="M42" s="14">
        <v>35507</v>
      </c>
      <c r="N42" s="14">
        <v>35313</v>
      </c>
      <c r="O42" s="14">
        <v>34658</v>
      </c>
      <c r="P42" s="14">
        <v>34310</v>
      </c>
      <c r="Q42" s="15">
        <f t="shared" si="1"/>
        <v>36743.166666666664</v>
      </c>
      <c r="R42" s="16">
        <f t="shared" si="2"/>
        <v>35825.416666666664</v>
      </c>
    </row>
    <row r="43" spans="1:18" x14ac:dyDescent="0.2">
      <c r="A43" s="13" t="s">
        <v>40</v>
      </c>
      <c r="B43" s="14">
        <v>2956</v>
      </c>
      <c r="C43" s="14">
        <v>2933</v>
      </c>
      <c r="D43" s="14">
        <v>2986</v>
      </c>
      <c r="E43" s="14">
        <v>3096</v>
      </c>
      <c r="F43" s="14">
        <v>3096</v>
      </c>
      <c r="G43" s="14">
        <v>3072</v>
      </c>
      <c r="H43" s="14">
        <v>3134</v>
      </c>
      <c r="I43" s="14">
        <v>3154</v>
      </c>
      <c r="J43" s="14">
        <v>3184</v>
      </c>
      <c r="K43" s="14">
        <v>3184</v>
      </c>
      <c r="L43" s="14">
        <v>3174</v>
      </c>
      <c r="M43" s="14">
        <v>3190</v>
      </c>
      <c r="N43" s="14">
        <v>3141</v>
      </c>
      <c r="O43" s="14">
        <v>2995</v>
      </c>
      <c r="P43" s="14">
        <v>2901</v>
      </c>
      <c r="Q43" s="15">
        <f t="shared" si="1"/>
        <v>3096.5833333333335</v>
      </c>
      <c r="R43" s="16">
        <f t="shared" si="2"/>
        <v>3110.0833333333335</v>
      </c>
    </row>
    <row r="44" spans="1:18" x14ac:dyDescent="0.2">
      <c r="A44" s="13" t="s">
        <v>41</v>
      </c>
      <c r="B44" s="14">
        <v>18538</v>
      </c>
      <c r="C44" s="14">
        <v>18330</v>
      </c>
      <c r="D44" s="14">
        <v>18540</v>
      </c>
      <c r="E44" s="14">
        <v>18600</v>
      </c>
      <c r="F44" s="14">
        <v>18496</v>
      </c>
      <c r="G44" s="14">
        <v>18513</v>
      </c>
      <c r="H44" s="19">
        <v>18543</v>
      </c>
      <c r="I44" s="19">
        <v>18490</v>
      </c>
      <c r="J44" s="19">
        <v>18631</v>
      </c>
      <c r="K44" s="14">
        <v>18760</v>
      </c>
      <c r="L44" s="14">
        <v>18722</v>
      </c>
      <c r="M44" s="14">
        <v>18817</v>
      </c>
      <c r="N44" s="14">
        <v>18801</v>
      </c>
      <c r="O44" s="14">
        <v>17877</v>
      </c>
      <c r="P44" s="20">
        <v>17889</v>
      </c>
      <c r="Q44" s="15">
        <f t="shared" si="1"/>
        <v>18581.666666666668</v>
      </c>
      <c r="R44" s="16">
        <f t="shared" si="2"/>
        <v>18511.583333333332</v>
      </c>
    </row>
    <row r="45" spans="1:18" x14ac:dyDescent="0.2">
      <c r="A45" s="13" t="s">
        <v>42</v>
      </c>
      <c r="B45" s="14">
        <v>22553</v>
      </c>
      <c r="C45" s="14">
        <v>21725</v>
      </c>
      <c r="D45" s="14">
        <v>21124</v>
      </c>
      <c r="E45" s="14">
        <v>20989</v>
      </c>
      <c r="F45" s="14">
        <v>20270</v>
      </c>
      <c r="G45" s="14">
        <v>19845</v>
      </c>
      <c r="H45" s="14">
        <v>19764</v>
      </c>
      <c r="I45" s="14">
        <v>19445</v>
      </c>
      <c r="J45" s="14">
        <v>19138</v>
      </c>
      <c r="K45" s="14">
        <v>19228</v>
      </c>
      <c r="L45" s="14">
        <v>18834</v>
      </c>
      <c r="M45" s="14">
        <v>18725</v>
      </c>
      <c r="N45" s="14">
        <v>18646</v>
      </c>
      <c r="O45" s="14">
        <v>17791</v>
      </c>
      <c r="P45" s="14">
        <v>17298</v>
      </c>
      <c r="Q45" s="15">
        <f t="shared" si="1"/>
        <v>20136.666666666668</v>
      </c>
      <c r="R45" s="16">
        <f t="shared" si="2"/>
        <v>19164.416666666668</v>
      </c>
    </row>
    <row r="46" spans="1:18" x14ac:dyDescent="0.2">
      <c r="A46" s="13" t="s">
        <v>43</v>
      </c>
      <c r="B46" s="14">
        <v>2505</v>
      </c>
      <c r="C46" s="14">
        <v>2554</v>
      </c>
      <c r="D46" s="14">
        <v>2538</v>
      </c>
      <c r="E46" s="21">
        <v>2430</v>
      </c>
      <c r="F46" s="21">
        <v>2375</v>
      </c>
      <c r="G46" s="21">
        <v>2347</v>
      </c>
      <c r="H46" s="19">
        <v>2262</v>
      </c>
      <c r="I46" s="19">
        <v>2296</v>
      </c>
      <c r="J46" s="19">
        <v>2338</v>
      </c>
      <c r="K46" s="14">
        <v>2449</v>
      </c>
      <c r="L46" s="14">
        <v>2489</v>
      </c>
      <c r="M46" s="14">
        <v>2519</v>
      </c>
      <c r="N46" s="14">
        <v>2472</v>
      </c>
      <c r="O46" s="14">
        <v>2549</v>
      </c>
      <c r="P46" s="14">
        <v>2557</v>
      </c>
      <c r="Q46" s="15">
        <f t="shared" si="1"/>
        <v>2425.1666666666665</v>
      </c>
      <c r="R46" s="16">
        <f t="shared" si="2"/>
        <v>2423.5833333333335</v>
      </c>
    </row>
    <row r="47" spans="1:18" x14ac:dyDescent="0.2">
      <c r="A47" s="13" t="s">
        <v>44</v>
      </c>
      <c r="B47" s="14">
        <v>3794</v>
      </c>
      <c r="C47" s="14">
        <v>3755</v>
      </c>
      <c r="D47" s="14">
        <v>3704</v>
      </c>
      <c r="E47" s="14">
        <v>3838</v>
      </c>
      <c r="F47" s="14">
        <v>3851</v>
      </c>
      <c r="G47" s="14">
        <v>3822</v>
      </c>
      <c r="H47" s="14">
        <v>3823</v>
      </c>
      <c r="I47" s="14">
        <v>3775</v>
      </c>
      <c r="J47" s="14">
        <v>3737</v>
      </c>
      <c r="K47" s="14">
        <v>3734</v>
      </c>
      <c r="L47" s="14">
        <v>3802</v>
      </c>
      <c r="M47" s="14">
        <v>3698</v>
      </c>
      <c r="N47" s="14">
        <v>3615</v>
      </c>
      <c r="O47" s="14">
        <v>3497</v>
      </c>
      <c r="P47" s="14">
        <v>3401</v>
      </c>
      <c r="Q47" s="15">
        <f t="shared" si="1"/>
        <v>3777.75</v>
      </c>
      <c r="R47" s="16">
        <f t="shared" si="2"/>
        <v>3716.0833333333335</v>
      </c>
    </row>
    <row r="48" spans="1:18" x14ac:dyDescent="0.2">
      <c r="A48" s="13" t="s">
        <v>45</v>
      </c>
      <c r="B48" s="14">
        <v>5701</v>
      </c>
      <c r="C48" s="14">
        <v>5746</v>
      </c>
      <c r="D48" s="14">
        <v>5666</v>
      </c>
      <c r="E48" s="14">
        <v>5467</v>
      </c>
      <c r="F48" s="14">
        <v>5503</v>
      </c>
      <c r="G48" s="14">
        <v>5411</v>
      </c>
      <c r="H48" s="14">
        <v>5305</v>
      </c>
      <c r="I48" s="14">
        <v>5371</v>
      </c>
      <c r="J48" s="14">
        <v>5348</v>
      </c>
      <c r="K48" s="14">
        <v>5371</v>
      </c>
      <c r="L48" s="14">
        <v>5287</v>
      </c>
      <c r="M48" s="14">
        <v>5298</v>
      </c>
      <c r="N48" s="14">
        <v>5318</v>
      </c>
      <c r="O48" s="14">
        <v>5136</v>
      </c>
      <c r="P48" s="14">
        <v>5063</v>
      </c>
      <c r="Q48" s="15">
        <f t="shared" si="1"/>
        <v>5456.166666666667</v>
      </c>
      <c r="R48" s="16">
        <f t="shared" si="2"/>
        <v>5323.166666666667</v>
      </c>
    </row>
    <row r="49" spans="1:18" x14ac:dyDescent="0.2">
      <c r="A49" s="13" t="s">
        <v>46</v>
      </c>
      <c r="B49" s="14">
        <v>2563</v>
      </c>
      <c r="C49" s="14">
        <v>2544</v>
      </c>
      <c r="D49" s="14">
        <v>2526</v>
      </c>
      <c r="E49" s="14">
        <v>2541</v>
      </c>
      <c r="F49" s="14">
        <v>2504</v>
      </c>
      <c r="G49" s="14">
        <v>2488</v>
      </c>
      <c r="H49" s="19">
        <v>2482</v>
      </c>
      <c r="I49" s="19">
        <v>2460</v>
      </c>
      <c r="J49" s="19">
        <v>2427</v>
      </c>
      <c r="K49" s="14">
        <v>2431</v>
      </c>
      <c r="L49" s="14">
        <v>2431</v>
      </c>
      <c r="M49" s="14">
        <v>2412</v>
      </c>
      <c r="N49" s="14">
        <v>2412</v>
      </c>
      <c r="O49" s="14">
        <v>2364</v>
      </c>
      <c r="P49" s="14">
        <v>2322</v>
      </c>
      <c r="Q49" s="15">
        <f t="shared" si="1"/>
        <v>2484.0833333333335</v>
      </c>
      <c r="R49" s="16">
        <f t="shared" si="2"/>
        <v>2439.5</v>
      </c>
    </row>
    <row r="50" spans="1:18" x14ac:dyDescent="0.2">
      <c r="A50" s="13" t="s">
        <v>47</v>
      </c>
      <c r="B50" s="14">
        <v>13234</v>
      </c>
      <c r="C50" s="14">
        <v>13087</v>
      </c>
      <c r="D50" s="14">
        <v>13030</v>
      </c>
      <c r="E50" s="14">
        <v>12574</v>
      </c>
      <c r="F50" s="14">
        <v>12381</v>
      </c>
      <c r="G50" s="14">
        <v>12175</v>
      </c>
      <c r="H50" s="14">
        <v>12270</v>
      </c>
      <c r="I50" s="14">
        <v>12550</v>
      </c>
      <c r="J50" s="14">
        <v>12656</v>
      </c>
      <c r="K50" s="14">
        <v>12876</v>
      </c>
      <c r="L50" s="14">
        <v>13062</v>
      </c>
      <c r="M50" s="14">
        <v>13230</v>
      </c>
      <c r="N50" s="14">
        <v>13142</v>
      </c>
      <c r="O50" s="14">
        <v>12797</v>
      </c>
      <c r="P50" s="14">
        <v>12544</v>
      </c>
      <c r="Q50" s="15">
        <f t="shared" si="1"/>
        <v>12760.416666666666</v>
      </c>
      <c r="R50" s="16">
        <f t="shared" si="2"/>
        <v>12688.083333333334</v>
      </c>
    </row>
    <row r="51" spans="1:18" x14ac:dyDescent="0.2">
      <c r="A51" s="13" t="s">
        <v>48</v>
      </c>
      <c r="B51" s="14">
        <v>10938</v>
      </c>
      <c r="C51" s="14">
        <v>11211</v>
      </c>
      <c r="D51" s="14">
        <v>11281</v>
      </c>
      <c r="E51" s="14">
        <v>11146</v>
      </c>
      <c r="F51" s="14">
        <v>10747</v>
      </c>
      <c r="G51" s="14">
        <v>10423</v>
      </c>
      <c r="H51" s="19">
        <v>10395</v>
      </c>
      <c r="I51" s="19">
        <v>10399</v>
      </c>
      <c r="J51" s="19">
        <v>10628</v>
      </c>
      <c r="K51" s="14">
        <v>11024</v>
      </c>
      <c r="L51" s="14">
        <v>11454</v>
      </c>
      <c r="M51" s="14">
        <v>11839</v>
      </c>
      <c r="N51" s="14">
        <v>12147</v>
      </c>
      <c r="O51" s="14">
        <v>11979</v>
      </c>
      <c r="P51" s="14">
        <v>11874</v>
      </c>
      <c r="Q51" s="15">
        <f t="shared" si="1"/>
        <v>10957.083333333334</v>
      </c>
      <c r="R51" s="16">
        <f t="shared" si="2"/>
        <v>11171.25</v>
      </c>
    </row>
    <row r="52" spans="1:18" x14ac:dyDescent="0.2">
      <c r="A52" s="13" t="s">
        <v>49</v>
      </c>
      <c r="B52" s="14">
        <v>1978</v>
      </c>
      <c r="C52" s="14">
        <v>1930</v>
      </c>
      <c r="D52" s="14">
        <v>1939</v>
      </c>
      <c r="E52" s="14">
        <v>1925</v>
      </c>
      <c r="F52" s="14">
        <v>1900</v>
      </c>
      <c r="G52" s="14">
        <v>1903</v>
      </c>
      <c r="H52" s="18">
        <v>1896</v>
      </c>
      <c r="I52" s="18">
        <v>1888</v>
      </c>
      <c r="J52" s="18">
        <v>1841</v>
      </c>
      <c r="K52" s="14">
        <v>1807</v>
      </c>
      <c r="L52" s="14">
        <v>1799</v>
      </c>
      <c r="M52" s="14">
        <v>1786</v>
      </c>
      <c r="N52" s="14">
        <v>1791</v>
      </c>
      <c r="O52" s="14">
        <v>1739</v>
      </c>
      <c r="P52" s="14">
        <v>1713</v>
      </c>
      <c r="Q52" s="15">
        <f t="shared" si="1"/>
        <v>1882.6666666666667</v>
      </c>
      <c r="R52" s="16">
        <f t="shared" si="2"/>
        <v>1832.3333333333333</v>
      </c>
    </row>
    <row r="53" spans="1:18" x14ac:dyDescent="0.2">
      <c r="A53" s="13" t="s">
        <v>50</v>
      </c>
      <c r="B53" s="14">
        <v>1665</v>
      </c>
      <c r="C53" s="14">
        <v>1644</v>
      </c>
      <c r="D53" s="14">
        <v>1575</v>
      </c>
      <c r="E53" s="14">
        <v>1627</v>
      </c>
      <c r="F53" s="14">
        <v>1558</v>
      </c>
      <c r="G53" s="14">
        <v>1561</v>
      </c>
      <c r="H53" s="19">
        <v>1562</v>
      </c>
      <c r="I53" s="19">
        <v>1540</v>
      </c>
      <c r="J53" s="19">
        <v>1507</v>
      </c>
      <c r="K53" s="14">
        <v>1518</v>
      </c>
      <c r="L53" s="14">
        <v>1528</v>
      </c>
      <c r="M53" s="14">
        <v>1512</v>
      </c>
      <c r="N53" s="14">
        <v>1556</v>
      </c>
      <c r="O53" s="14">
        <v>1417</v>
      </c>
      <c r="P53" s="14">
        <v>1348</v>
      </c>
      <c r="Q53" s="15">
        <f t="shared" si="1"/>
        <v>1566.4166666666667</v>
      </c>
      <c r="R53" s="16">
        <f t="shared" si="2"/>
        <v>1519.5</v>
      </c>
    </row>
    <row r="54" spans="1:18" x14ac:dyDescent="0.2">
      <c r="A54" s="13" t="s">
        <v>51</v>
      </c>
      <c r="B54" s="14">
        <v>47</v>
      </c>
      <c r="C54" s="14">
        <v>46</v>
      </c>
      <c r="D54" s="14">
        <v>43</v>
      </c>
      <c r="E54" s="14">
        <v>47</v>
      </c>
      <c r="F54" s="14">
        <v>43</v>
      </c>
      <c r="G54" s="14">
        <v>41</v>
      </c>
      <c r="H54" s="19">
        <v>37</v>
      </c>
      <c r="I54" s="19">
        <v>38</v>
      </c>
      <c r="J54" s="19">
        <v>39</v>
      </c>
      <c r="K54" s="14">
        <v>37</v>
      </c>
      <c r="L54" s="14">
        <v>37</v>
      </c>
      <c r="M54" s="14">
        <v>36</v>
      </c>
      <c r="N54" s="14">
        <v>35</v>
      </c>
      <c r="O54" s="14">
        <v>35</v>
      </c>
      <c r="P54" s="14">
        <v>32</v>
      </c>
      <c r="Q54" s="15">
        <f t="shared" si="1"/>
        <v>40.916666666666664</v>
      </c>
      <c r="R54" s="16">
        <f t="shared" si="2"/>
        <v>38.083333333333336</v>
      </c>
    </row>
    <row r="55" spans="1:18" x14ac:dyDescent="0.2">
      <c r="A55" s="13" t="s">
        <v>52</v>
      </c>
      <c r="B55" s="14">
        <v>12836</v>
      </c>
      <c r="C55" s="14">
        <v>12733</v>
      </c>
      <c r="D55" s="14">
        <v>12642</v>
      </c>
      <c r="E55" s="14">
        <v>12244</v>
      </c>
      <c r="F55" s="14">
        <v>12022</v>
      </c>
      <c r="G55" s="14">
        <v>11885</v>
      </c>
      <c r="H55" s="19">
        <v>11715</v>
      </c>
      <c r="I55" s="19">
        <v>11629</v>
      </c>
      <c r="J55" s="19">
        <v>11508</v>
      </c>
      <c r="K55" s="14">
        <v>11463</v>
      </c>
      <c r="L55" s="14">
        <v>11343</v>
      </c>
      <c r="M55" s="14">
        <v>11265</v>
      </c>
      <c r="N55" s="14">
        <v>11143</v>
      </c>
      <c r="O55" s="14">
        <v>10788</v>
      </c>
      <c r="P55" s="14">
        <v>10575</v>
      </c>
      <c r="Q55" s="15">
        <f t="shared" si="1"/>
        <v>11940.416666666666</v>
      </c>
      <c r="R55" s="16">
        <f t="shared" si="2"/>
        <v>11465</v>
      </c>
    </row>
    <row r="56" spans="1:18" x14ac:dyDescent="0.2">
      <c r="A56" s="13" t="s">
        <v>53</v>
      </c>
      <c r="B56" s="14">
        <v>34997</v>
      </c>
      <c r="C56" s="14">
        <v>35158</v>
      </c>
      <c r="D56" s="14">
        <v>35320</v>
      </c>
      <c r="E56" s="14">
        <v>35656</v>
      </c>
      <c r="F56" s="14">
        <v>35313</v>
      </c>
      <c r="G56" s="14">
        <v>35059</v>
      </c>
      <c r="H56" s="14">
        <v>34670</v>
      </c>
      <c r="I56" s="14">
        <v>34392</v>
      </c>
      <c r="J56" s="14">
        <v>33887</v>
      </c>
      <c r="K56" s="14">
        <v>33096</v>
      </c>
      <c r="L56" s="14">
        <v>32979</v>
      </c>
      <c r="M56" s="14">
        <v>32670</v>
      </c>
      <c r="N56" s="14">
        <v>32456</v>
      </c>
      <c r="O56" s="14">
        <v>31458</v>
      </c>
      <c r="P56" s="14">
        <v>31490</v>
      </c>
      <c r="Q56" s="15">
        <f t="shared" si="1"/>
        <v>34433.083333333336</v>
      </c>
      <c r="R56" s="16">
        <f t="shared" si="2"/>
        <v>33593.833333333336</v>
      </c>
    </row>
    <row r="57" spans="1:18" x14ac:dyDescent="0.2">
      <c r="A57" s="13" t="s">
        <v>54</v>
      </c>
      <c r="B57" s="14">
        <v>4511</v>
      </c>
      <c r="C57" s="14">
        <v>4517</v>
      </c>
      <c r="D57" s="14">
        <v>4555</v>
      </c>
      <c r="E57" s="14">
        <v>4505</v>
      </c>
      <c r="F57" s="14">
        <v>4524</v>
      </c>
      <c r="G57" s="14">
        <v>4456</v>
      </c>
      <c r="H57" s="19">
        <v>4443</v>
      </c>
      <c r="I57" s="19">
        <v>4417</v>
      </c>
      <c r="J57" s="19">
        <v>4278</v>
      </c>
      <c r="K57" s="14">
        <v>4259</v>
      </c>
      <c r="L57" s="14">
        <v>4306</v>
      </c>
      <c r="M57" s="14">
        <v>4324</v>
      </c>
      <c r="N57" s="14">
        <v>4282</v>
      </c>
      <c r="O57" s="14">
        <v>4143</v>
      </c>
      <c r="P57" s="14">
        <v>4082</v>
      </c>
      <c r="Q57" s="15">
        <f t="shared" si="1"/>
        <v>4424.583333333333</v>
      </c>
      <c r="R57" s="16">
        <f t="shared" si="2"/>
        <v>4334.916666666667</v>
      </c>
    </row>
    <row r="58" spans="1:18" x14ac:dyDescent="0.2">
      <c r="A58" s="13" t="s">
        <v>55</v>
      </c>
      <c r="B58" s="14">
        <v>11350</v>
      </c>
      <c r="C58" s="14">
        <v>11300</v>
      </c>
      <c r="D58" s="14">
        <v>11351</v>
      </c>
      <c r="E58" s="14">
        <v>11239</v>
      </c>
      <c r="F58" s="14">
        <v>11285</v>
      </c>
      <c r="G58" s="14">
        <v>11191</v>
      </c>
      <c r="H58" s="14">
        <v>11109</v>
      </c>
      <c r="I58" s="14">
        <v>11153</v>
      </c>
      <c r="J58" s="14">
        <v>11123</v>
      </c>
      <c r="K58" s="14">
        <v>10979</v>
      </c>
      <c r="L58" s="14">
        <v>10924</v>
      </c>
      <c r="M58" s="14">
        <v>11028</v>
      </c>
      <c r="N58" s="14">
        <v>10998</v>
      </c>
      <c r="O58" s="14">
        <v>11020</v>
      </c>
      <c r="P58" s="14">
        <v>10933</v>
      </c>
      <c r="Q58" s="15">
        <f t="shared" si="1"/>
        <v>11169.333333333334</v>
      </c>
      <c r="R58" s="16">
        <f t="shared" si="2"/>
        <v>11081.833333333334</v>
      </c>
    </row>
    <row r="59" spans="1:18" x14ac:dyDescent="0.2">
      <c r="A59" s="23" t="s">
        <v>56</v>
      </c>
      <c r="B59" s="24">
        <v>471</v>
      </c>
      <c r="C59" s="24">
        <v>462</v>
      </c>
      <c r="D59" s="24">
        <v>484</v>
      </c>
      <c r="E59" s="24">
        <v>460</v>
      </c>
      <c r="F59" s="24">
        <v>452</v>
      </c>
      <c r="G59" s="24">
        <v>462</v>
      </c>
      <c r="H59" s="25">
        <v>453</v>
      </c>
      <c r="I59" s="25">
        <v>476</v>
      </c>
      <c r="J59" s="25">
        <v>481</v>
      </c>
      <c r="K59" s="24">
        <v>454</v>
      </c>
      <c r="L59" s="24">
        <v>445</v>
      </c>
      <c r="M59" s="24">
        <v>455</v>
      </c>
      <c r="N59" s="24">
        <v>457</v>
      </c>
      <c r="O59" s="24">
        <v>433</v>
      </c>
      <c r="P59" s="24">
        <v>421</v>
      </c>
      <c r="Q59" s="26">
        <f t="shared" si="1"/>
        <v>462.91666666666669</v>
      </c>
      <c r="R59" s="27">
        <f t="shared" si="2"/>
        <v>454.08333333333331</v>
      </c>
    </row>
    <row r="60" spans="1:18" x14ac:dyDescent="0.2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</row>
    <row r="61" spans="1:18" x14ac:dyDescent="0.2">
      <c r="A61" s="28" t="s">
        <v>58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</row>
    <row r="62" spans="1:18" x14ac:dyDescent="0.2">
      <c r="A62" s="28" t="s">
        <v>94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</row>
    <row r="63" spans="1:18" x14ac:dyDescent="0.2">
      <c r="A63" s="28" t="s">
        <v>84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</row>
    <row r="64" spans="1:18" x14ac:dyDescent="0.2">
      <c r="A64" s="29"/>
    </row>
  </sheetData>
  <pageMargins left="0.7" right="0.7" top="0.75" bottom="0.75" header="0.3" footer="0.3"/>
  <pageSetup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63"/>
  <sheetViews>
    <sheetView workbookViewId="0"/>
  </sheetViews>
  <sheetFormatPr defaultColWidth="9.28515625" defaultRowHeight="11.25" x14ac:dyDescent="0.2"/>
  <cols>
    <col min="1" max="1" width="14.28515625" style="28" bestFit="1" customWidth="1"/>
    <col min="2" max="18" width="10" style="17" customWidth="1"/>
    <col min="19" max="16384" width="9.28515625" style="17"/>
  </cols>
  <sheetData>
    <row r="1" spans="1:18" s="1" customFormat="1" ht="15.75" x14ac:dyDescent="0.25">
      <c r="A1" s="70" t="s">
        <v>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s="2" customFormat="1" ht="12.75" x14ac:dyDescent="0.2">
      <c r="A2" s="67" t="str">
        <f>TFam!$A$2</f>
        <v>Fiscal Year 2025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3" spans="1:18" s="7" customFormat="1" ht="12" customHeight="1" x14ac:dyDescent="0.2">
      <c r="A3" s="71">
        <f>TFam!$A$3</f>
        <v>46111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s="7" customFormat="1" ht="22.5" x14ac:dyDescent="0.2">
      <c r="A4" s="63" t="s">
        <v>1</v>
      </c>
      <c r="B4" s="64">
        <f>TFam!B4</f>
        <v>45566</v>
      </c>
      <c r="C4" s="64">
        <f>TFam!C4</f>
        <v>45597</v>
      </c>
      <c r="D4" s="64">
        <f>TFam!D4</f>
        <v>45627</v>
      </c>
      <c r="E4" s="64">
        <f>TFam!E4</f>
        <v>45658</v>
      </c>
      <c r="F4" s="64">
        <f>TFam!F4</f>
        <v>45689</v>
      </c>
      <c r="G4" s="64">
        <f>TFam!G4</f>
        <v>45717</v>
      </c>
      <c r="H4" s="64">
        <f>TFam!H4</f>
        <v>45748</v>
      </c>
      <c r="I4" s="64">
        <f>TFam!I4</f>
        <v>45778</v>
      </c>
      <c r="J4" s="64">
        <f>TFam!J4</f>
        <v>45809</v>
      </c>
      <c r="K4" s="64">
        <f>TFam!K4</f>
        <v>45839</v>
      </c>
      <c r="L4" s="64">
        <f>TFam!L4</f>
        <v>45870</v>
      </c>
      <c r="M4" s="64">
        <f>TFam!M4</f>
        <v>45901</v>
      </c>
      <c r="N4" s="64">
        <f>TFam!N4</f>
        <v>45931</v>
      </c>
      <c r="O4" s="64">
        <f>TFam!O4</f>
        <v>45962</v>
      </c>
      <c r="P4" s="64">
        <f>TFam!P4</f>
        <v>45992</v>
      </c>
      <c r="Q4" s="65" t="str">
        <f>TFam!Q4</f>
        <v>Average
FY 2025</v>
      </c>
      <c r="R4" s="66" t="str">
        <f>TFam!R4</f>
        <v>Average
CY 2025</v>
      </c>
    </row>
    <row r="5" spans="1:18" s="12" customFormat="1" x14ac:dyDescent="0.2">
      <c r="A5" s="8" t="s">
        <v>2</v>
      </c>
      <c r="B5" s="9">
        <f>SUM(B6:B59)</f>
        <v>2154454</v>
      </c>
      <c r="C5" s="9">
        <f t="shared" ref="C5:P5" si="0">SUM(C6:C59)</f>
        <v>2145087</v>
      </c>
      <c r="D5" s="9">
        <f t="shared" si="0"/>
        <v>2142734</v>
      </c>
      <c r="E5" s="9">
        <f t="shared" si="0"/>
        <v>2126747</v>
      </c>
      <c r="F5" s="9">
        <f t="shared" si="0"/>
        <v>2107646</v>
      </c>
      <c r="G5" s="9">
        <f t="shared" si="0"/>
        <v>2092069</v>
      </c>
      <c r="H5" s="9">
        <f t="shared" si="0"/>
        <v>2073032</v>
      </c>
      <c r="I5" s="9">
        <f t="shared" si="0"/>
        <v>2070874</v>
      </c>
      <c r="J5" s="9">
        <f t="shared" si="0"/>
        <v>2061223</v>
      </c>
      <c r="K5" s="9">
        <f t="shared" si="0"/>
        <v>2060290</v>
      </c>
      <c r="L5" s="9">
        <f t="shared" si="0"/>
        <v>2061299</v>
      </c>
      <c r="M5" s="9">
        <f t="shared" si="0"/>
        <v>2057505</v>
      </c>
      <c r="N5" s="9">
        <f t="shared" si="0"/>
        <v>2069262</v>
      </c>
      <c r="O5" s="9">
        <f t="shared" si="0"/>
        <v>2018372</v>
      </c>
      <c r="P5" s="10">
        <f t="shared" si="0"/>
        <v>1991851</v>
      </c>
      <c r="Q5" s="10">
        <f>AVERAGE(B5:M5)</f>
        <v>2096080</v>
      </c>
      <c r="R5" s="11">
        <f>AVERAGE(E5:P5)</f>
        <v>2065847.5</v>
      </c>
    </row>
    <row r="6" spans="1:18" x14ac:dyDescent="0.2">
      <c r="A6" s="13" t="s">
        <v>3</v>
      </c>
      <c r="B6" s="14">
        <v>15010</v>
      </c>
      <c r="C6" s="14">
        <v>15279</v>
      </c>
      <c r="D6" s="14">
        <v>15411</v>
      </c>
      <c r="E6" s="14">
        <v>15061</v>
      </c>
      <c r="F6" s="14">
        <v>14804</v>
      </c>
      <c r="G6" s="14">
        <v>14292</v>
      </c>
      <c r="H6" s="14">
        <v>13907</v>
      </c>
      <c r="I6" s="14">
        <v>13947</v>
      </c>
      <c r="J6" s="14">
        <v>14042</v>
      </c>
      <c r="K6" s="14">
        <v>14133</v>
      </c>
      <c r="L6" s="14">
        <v>14450</v>
      </c>
      <c r="M6" s="14">
        <v>14496</v>
      </c>
      <c r="N6" s="14">
        <v>14741</v>
      </c>
      <c r="O6" s="14">
        <v>14447</v>
      </c>
      <c r="P6" s="15">
        <v>14435</v>
      </c>
      <c r="Q6" s="15">
        <f t="shared" ref="Q6:Q59" si="1">AVERAGE(B6:M6)</f>
        <v>14569.333333333334</v>
      </c>
      <c r="R6" s="16">
        <f t="shared" ref="R6:R59" si="2">AVERAGE(E6:P6)</f>
        <v>14396.25</v>
      </c>
    </row>
    <row r="7" spans="1:18" x14ac:dyDescent="0.2">
      <c r="A7" s="13" t="s">
        <v>4</v>
      </c>
      <c r="B7" s="14">
        <v>2858</v>
      </c>
      <c r="C7" s="14">
        <v>2796</v>
      </c>
      <c r="D7" s="14">
        <v>2625</v>
      </c>
      <c r="E7" s="14">
        <v>2890</v>
      </c>
      <c r="F7" s="14">
        <v>2844</v>
      </c>
      <c r="G7" s="14">
        <v>2920</v>
      </c>
      <c r="H7" s="14">
        <v>2994</v>
      </c>
      <c r="I7" s="14">
        <v>2971</v>
      </c>
      <c r="J7" s="14">
        <v>2822</v>
      </c>
      <c r="K7" s="14">
        <v>2858</v>
      </c>
      <c r="L7" s="14">
        <v>2796</v>
      </c>
      <c r="M7" s="14">
        <v>2625</v>
      </c>
      <c r="N7" s="14">
        <v>2457</v>
      </c>
      <c r="O7" s="14">
        <v>2229</v>
      </c>
      <c r="P7" s="15">
        <v>2074</v>
      </c>
      <c r="Q7" s="15">
        <f t="shared" si="1"/>
        <v>2833.25</v>
      </c>
      <c r="R7" s="16">
        <f t="shared" si="2"/>
        <v>2706.6666666666665</v>
      </c>
    </row>
    <row r="8" spans="1:18" x14ac:dyDescent="0.2">
      <c r="A8" s="13" t="s">
        <v>5</v>
      </c>
      <c r="B8" s="14">
        <v>9066</v>
      </c>
      <c r="C8" s="14">
        <v>8903</v>
      </c>
      <c r="D8" s="14">
        <v>9011</v>
      </c>
      <c r="E8" s="14">
        <v>8702</v>
      </c>
      <c r="F8" s="14">
        <v>8418</v>
      </c>
      <c r="G8" s="14">
        <v>8176</v>
      </c>
      <c r="H8" s="14">
        <v>7783</v>
      </c>
      <c r="I8" s="14">
        <v>7526</v>
      </c>
      <c r="J8" s="14">
        <v>7118</v>
      </c>
      <c r="K8" s="14">
        <v>6887</v>
      </c>
      <c r="L8" s="14">
        <v>6803</v>
      </c>
      <c r="M8" s="14">
        <v>6337</v>
      </c>
      <c r="N8" s="14">
        <v>5782</v>
      </c>
      <c r="O8" s="14">
        <v>5201</v>
      </c>
      <c r="P8" s="15">
        <v>4677</v>
      </c>
      <c r="Q8" s="15">
        <f t="shared" si="1"/>
        <v>7894.166666666667</v>
      </c>
      <c r="R8" s="16">
        <f t="shared" si="2"/>
        <v>6950.833333333333</v>
      </c>
    </row>
    <row r="9" spans="1:18" x14ac:dyDescent="0.2">
      <c r="A9" s="13" t="s">
        <v>6</v>
      </c>
      <c r="B9" s="14">
        <v>1806</v>
      </c>
      <c r="C9" s="14">
        <v>1800</v>
      </c>
      <c r="D9" s="14">
        <v>1837</v>
      </c>
      <c r="E9" s="14">
        <v>1802</v>
      </c>
      <c r="F9" s="14">
        <v>1720</v>
      </c>
      <c r="G9" s="14">
        <v>1648</v>
      </c>
      <c r="H9" s="14">
        <v>1622</v>
      </c>
      <c r="I9" s="14">
        <v>1732</v>
      </c>
      <c r="J9" s="14">
        <v>1799</v>
      </c>
      <c r="K9" s="14">
        <v>1827</v>
      </c>
      <c r="L9" s="14">
        <v>1858</v>
      </c>
      <c r="M9" s="14">
        <v>2030</v>
      </c>
      <c r="N9" s="14">
        <v>2101</v>
      </c>
      <c r="O9" s="14">
        <v>1979</v>
      </c>
      <c r="P9" s="15">
        <v>1987</v>
      </c>
      <c r="Q9" s="15">
        <f t="shared" si="1"/>
        <v>1790.0833333333333</v>
      </c>
      <c r="R9" s="16">
        <f t="shared" si="2"/>
        <v>1842.0833333333333</v>
      </c>
    </row>
    <row r="10" spans="1:18" x14ac:dyDescent="0.2">
      <c r="A10" s="13" t="s">
        <v>7</v>
      </c>
      <c r="B10" s="14">
        <v>816516</v>
      </c>
      <c r="C10" s="14">
        <v>813430</v>
      </c>
      <c r="D10" s="14">
        <v>812349</v>
      </c>
      <c r="E10" s="14">
        <v>810554</v>
      </c>
      <c r="F10" s="14">
        <v>810308</v>
      </c>
      <c r="G10" s="14">
        <v>805325</v>
      </c>
      <c r="H10" s="14">
        <v>802024</v>
      </c>
      <c r="I10" s="14">
        <v>799725</v>
      </c>
      <c r="J10" s="14">
        <v>793700</v>
      </c>
      <c r="K10" s="14">
        <v>789354</v>
      </c>
      <c r="L10" s="14">
        <v>786107</v>
      </c>
      <c r="M10" s="14">
        <v>780686</v>
      </c>
      <c r="N10" s="14">
        <v>803561</v>
      </c>
      <c r="O10" s="14">
        <v>781917</v>
      </c>
      <c r="P10" s="15">
        <v>772525</v>
      </c>
      <c r="Q10" s="15">
        <f t="shared" si="1"/>
        <v>801673.16666666663</v>
      </c>
      <c r="R10" s="16">
        <f t="shared" si="2"/>
        <v>794648.83333333337</v>
      </c>
    </row>
    <row r="11" spans="1:18" x14ac:dyDescent="0.2">
      <c r="A11" s="13" t="s">
        <v>8</v>
      </c>
      <c r="B11" s="14">
        <v>36409</v>
      </c>
      <c r="C11" s="14">
        <v>36431</v>
      </c>
      <c r="D11" s="14">
        <v>36658</v>
      </c>
      <c r="E11" s="14">
        <v>32701</v>
      </c>
      <c r="F11" s="14">
        <v>33339</v>
      </c>
      <c r="G11" s="14">
        <v>33236</v>
      </c>
      <c r="H11" s="14">
        <v>32686</v>
      </c>
      <c r="I11" s="14">
        <v>31584</v>
      </c>
      <c r="J11" s="14">
        <v>31169</v>
      </c>
      <c r="K11" s="14">
        <v>32032</v>
      </c>
      <c r="L11" s="14">
        <v>33074</v>
      </c>
      <c r="M11" s="14">
        <v>33561</v>
      </c>
      <c r="N11" s="14">
        <v>34302</v>
      </c>
      <c r="O11" s="14">
        <v>32979</v>
      </c>
      <c r="P11" s="15">
        <v>31245</v>
      </c>
      <c r="Q11" s="15">
        <f t="shared" si="1"/>
        <v>33573.333333333336</v>
      </c>
      <c r="R11" s="16">
        <f t="shared" si="2"/>
        <v>32659</v>
      </c>
    </row>
    <row r="12" spans="1:18" x14ac:dyDescent="0.2">
      <c r="A12" s="13" t="s">
        <v>9</v>
      </c>
      <c r="B12" s="14">
        <v>13452</v>
      </c>
      <c r="C12" s="14">
        <v>13376</v>
      </c>
      <c r="D12" s="14">
        <v>13242</v>
      </c>
      <c r="E12" s="14">
        <v>13124</v>
      </c>
      <c r="F12" s="14">
        <v>12996</v>
      </c>
      <c r="G12" s="14">
        <v>12756</v>
      </c>
      <c r="H12" s="14">
        <v>12504</v>
      </c>
      <c r="I12" s="14">
        <v>12356</v>
      </c>
      <c r="J12" s="14">
        <v>12326</v>
      </c>
      <c r="K12" s="14">
        <v>12269</v>
      </c>
      <c r="L12" s="14">
        <v>12211</v>
      </c>
      <c r="M12" s="14">
        <v>12222</v>
      </c>
      <c r="N12" s="14">
        <v>12131</v>
      </c>
      <c r="O12" s="14">
        <v>11944</v>
      </c>
      <c r="P12" s="15">
        <v>11674</v>
      </c>
      <c r="Q12" s="15">
        <f t="shared" si="1"/>
        <v>12736.166666666666</v>
      </c>
      <c r="R12" s="16">
        <f t="shared" si="2"/>
        <v>12376.083333333334</v>
      </c>
    </row>
    <row r="13" spans="1:18" x14ac:dyDescent="0.2">
      <c r="A13" s="13" t="s">
        <v>10</v>
      </c>
      <c r="B13" s="14">
        <v>7098</v>
      </c>
      <c r="C13" s="14">
        <v>6976</v>
      </c>
      <c r="D13" s="14">
        <v>6875</v>
      </c>
      <c r="E13" s="14">
        <v>6743</v>
      </c>
      <c r="F13" s="14">
        <v>6610</v>
      </c>
      <c r="G13" s="14">
        <v>6514</v>
      </c>
      <c r="H13" s="14">
        <v>6337</v>
      </c>
      <c r="I13" s="14">
        <v>6392</v>
      </c>
      <c r="J13" s="14">
        <v>6400</v>
      </c>
      <c r="K13" s="14">
        <v>6323</v>
      </c>
      <c r="L13" s="14">
        <v>6252</v>
      </c>
      <c r="M13" s="14">
        <v>6298</v>
      </c>
      <c r="N13" s="14">
        <v>6285</v>
      </c>
      <c r="O13" s="14">
        <v>6070</v>
      </c>
      <c r="P13" s="15">
        <v>6027</v>
      </c>
      <c r="Q13" s="15">
        <f t="shared" si="1"/>
        <v>6568.166666666667</v>
      </c>
      <c r="R13" s="16">
        <f t="shared" si="2"/>
        <v>6354.25</v>
      </c>
    </row>
    <row r="14" spans="1:18" x14ac:dyDescent="0.2">
      <c r="A14" s="13" t="s">
        <v>11</v>
      </c>
      <c r="B14" s="14">
        <v>18024</v>
      </c>
      <c r="C14" s="14">
        <v>18972</v>
      </c>
      <c r="D14" s="14">
        <v>19005</v>
      </c>
      <c r="E14" s="14">
        <v>18524</v>
      </c>
      <c r="F14" s="14">
        <v>19501</v>
      </c>
      <c r="G14" s="14">
        <v>19181</v>
      </c>
      <c r="H14" s="14">
        <v>19131</v>
      </c>
      <c r="I14" s="14">
        <v>18340</v>
      </c>
      <c r="J14" s="14">
        <v>18740</v>
      </c>
      <c r="K14" s="14">
        <v>21055</v>
      </c>
      <c r="L14" s="14">
        <v>20279</v>
      </c>
      <c r="M14" s="14">
        <v>18081</v>
      </c>
      <c r="N14" s="14">
        <v>9453</v>
      </c>
      <c r="O14" s="14">
        <v>8220</v>
      </c>
      <c r="P14" s="15">
        <v>6930</v>
      </c>
      <c r="Q14" s="15">
        <f t="shared" si="1"/>
        <v>19069.416666666668</v>
      </c>
      <c r="R14" s="16">
        <f t="shared" si="2"/>
        <v>16452.916666666668</v>
      </c>
    </row>
    <row r="15" spans="1:18" x14ac:dyDescent="0.2">
      <c r="A15" s="13" t="s">
        <v>12</v>
      </c>
      <c r="B15" s="14">
        <v>52243</v>
      </c>
      <c r="C15" s="14">
        <v>51052</v>
      </c>
      <c r="D15" s="14">
        <v>50352</v>
      </c>
      <c r="E15" s="14">
        <v>48152</v>
      </c>
      <c r="F15" s="14">
        <v>43924</v>
      </c>
      <c r="G15" s="14">
        <v>42555</v>
      </c>
      <c r="H15" s="14">
        <v>39116</v>
      </c>
      <c r="I15" s="14">
        <v>37049</v>
      </c>
      <c r="J15" s="14">
        <v>35511</v>
      </c>
      <c r="K15" s="14">
        <v>34303</v>
      </c>
      <c r="L15" s="14">
        <v>32149</v>
      </c>
      <c r="M15" s="14">
        <v>30529</v>
      </c>
      <c r="N15" s="14">
        <v>29668</v>
      </c>
      <c r="O15" s="14">
        <v>29450</v>
      </c>
      <c r="P15" s="15">
        <v>28084</v>
      </c>
      <c r="Q15" s="15">
        <f t="shared" si="1"/>
        <v>41411.25</v>
      </c>
      <c r="R15" s="16">
        <f t="shared" si="2"/>
        <v>35874.166666666664</v>
      </c>
    </row>
    <row r="16" spans="1:18" x14ac:dyDescent="0.2">
      <c r="A16" s="13" t="s">
        <v>13</v>
      </c>
      <c r="B16" s="14">
        <v>6605</v>
      </c>
      <c r="C16" s="14">
        <v>6589</v>
      </c>
      <c r="D16" s="14">
        <v>6633</v>
      </c>
      <c r="E16" s="14">
        <v>6541</v>
      </c>
      <c r="F16" s="14">
        <v>6500</v>
      </c>
      <c r="G16" s="14">
        <v>6437</v>
      </c>
      <c r="H16" s="14">
        <v>6367</v>
      </c>
      <c r="I16" s="14">
        <v>6241</v>
      </c>
      <c r="J16" s="14">
        <v>6245</v>
      </c>
      <c r="K16" s="14">
        <v>6245</v>
      </c>
      <c r="L16" s="14">
        <v>6197</v>
      </c>
      <c r="M16" s="14">
        <v>6176</v>
      </c>
      <c r="N16" s="14">
        <v>6078</v>
      </c>
      <c r="O16" s="14">
        <v>5938</v>
      </c>
      <c r="P16" s="15">
        <v>5980</v>
      </c>
      <c r="Q16" s="15">
        <f t="shared" si="1"/>
        <v>6398</v>
      </c>
      <c r="R16" s="16">
        <f t="shared" si="2"/>
        <v>6245.416666666667</v>
      </c>
    </row>
    <row r="17" spans="1:18" x14ac:dyDescent="0.2">
      <c r="A17" s="13" t="s">
        <v>14</v>
      </c>
      <c r="B17" s="14">
        <v>475</v>
      </c>
      <c r="C17" s="14">
        <v>467</v>
      </c>
      <c r="D17" s="14">
        <v>460</v>
      </c>
      <c r="E17" s="14">
        <v>477</v>
      </c>
      <c r="F17" s="14">
        <v>502</v>
      </c>
      <c r="G17" s="14">
        <v>510</v>
      </c>
      <c r="H17" s="14">
        <v>503</v>
      </c>
      <c r="I17" s="14">
        <v>520</v>
      </c>
      <c r="J17" s="14">
        <v>555</v>
      </c>
      <c r="K17" s="14">
        <v>539</v>
      </c>
      <c r="L17" s="14">
        <v>563</v>
      </c>
      <c r="M17" s="14">
        <v>554</v>
      </c>
      <c r="N17" s="14">
        <v>560</v>
      </c>
      <c r="O17" s="14">
        <v>550</v>
      </c>
      <c r="P17" s="15">
        <v>556</v>
      </c>
      <c r="Q17" s="15">
        <f t="shared" si="1"/>
        <v>510.41666666666669</v>
      </c>
      <c r="R17" s="16">
        <f t="shared" si="2"/>
        <v>532.41666666666663</v>
      </c>
    </row>
    <row r="18" spans="1:18" x14ac:dyDescent="0.2">
      <c r="A18" s="13" t="s">
        <v>15</v>
      </c>
      <c r="B18" s="14">
        <v>4925</v>
      </c>
      <c r="C18" s="14">
        <v>4921</v>
      </c>
      <c r="D18" s="14">
        <v>4812</v>
      </c>
      <c r="E18" s="14">
        <v>4744</v>
      </c>
      <c r="F18" s="14">
        <v>4596</v>
      </c>
      <c r="G18" s="14">
        <v>4572</v>
      </c>
      <c r="H18" s="14">
        <v>4504</v>
      </c>
      <c r="I18" s="14">
        <v>4585</v>
      </c>
      <c r="J18" s="14">
        <v>4588</v>
      </c>
      <c r="K18" s="14">
        <v>4534</v>
      </c>
      <c r="L18" s="14">
        <v>4657</v>
      </c>
      <c r="M18" s="14">
        <v>4792</v>
      </c>
      <c r="N18" s="14">
        <v>4829</v>
      </c>
      <c r="O18" s="14">
        <v>4799</v>
      </c>
      <c r="P18" s="15">
        <v>4815</v>
      </c>
      <c r="Q18" s="15">
        <f t="shared" si="1"/>
        <v>4685.833333333333</v>
      </c>
      <c r="R18" s="16">
        <f t="shared" si="2"/>
        <v>4667.916666666667</v>
      </c>
    </row>
    <row r="19" spans="1:18" x14ac:dyDescent="0.2">
      <c r="A19" s="13" t="s">
        <v>16</v>
      </c>
      <c r="B19" s="14">
        <v>2090</v>
      </c>
      <c r="C19" s="14">
        <v>2092</v>
      </c>
      <c r="D19" s="14">
        <v>2051</v>
      </c>
      <c r="E19" s="14">
        <v>2057</v>
      </c>
      <c r="F19" s="14">
        <v>2064</v>
      </c>
      <c r="G19" s="14">
        <v>2030</v>
      </c>
      <c r="H19" s="14">
        <v>2032</v>
      </c>
      <c r="I19" s="14">
        <v>2010</v>
      </c>
      <c r="J19" s="14">
        <v>2004</v>
      </c>
      <c r="K19" s="14">
        <v>1967</v>
      </c>
      <c r="L19" s="14">
        <v>1950</v>
      </c>
      <c r="M19" s="14">
        <v>1906</v>
      </c>
      <c r="N19" s="14">
        <v>1883</v>
      </c>
      <c r="O19" s="14">
        <v>1839</v>
      </c>
      <c r="P19" s="15">
        <v>1817</v>
      </c>
      <c r="Q19" s="15">
        <f t="shared" si="1"/>
        <v>2021.0833333333333</v>
      </c>
      <c r="R19" s="16">
        <f t="shared" si="2"/>
        <v>1963.25</v>
      </c>
    </row>
    <row r="20" spans="1:18" x14ac:dyDescent="0.2">
      <c r="A20" s="13" t="s">
        <v>17</v>
      </c>
      <c r="B20" s="14">
        <v>20023</v>
      </c>
      <c r="C20" s="14">
        <v>20514</v>
      </c>
      <c r="D20" s="14">
        <v>20217</v>
      </c>
      <c r="E20" s="14">
        <v>19970</v>
      </c>
      <c r="F20" s="14">
        <v>19952</v>
      </c>
      <c r="G20" s="14">
        <v>20183</v>
      </c>
      <c r="H20" s="14">
        <v>21114</v>
      </c>
      <c r="I20" s="14">
        <v>21755</v>
      </c>
      <c r="J20" s="14">
        <v>21969</v>
      </c>
      <c r="K20" s="14">
        <v>22326</v>
      </c>
      <c r="L20" s="14">
        <v>23016</v>
      </c>
      <c r="M20" s="14">
        <v>23019</v>
      </c>
      <c r="N20" s="14">
        <v>23452</v>
      </c>
      <c r="O20" s="14">
        <v>23957</v>
      </c>
      <c r="P20" s="15">
        <v>23233</v>
      </c>
      <c r="Q20" s="15">
        <f t="shared" si="1"/>
        <v>21171.5</v>
      </c>
      <c r="R20" s="16">
        <f t="shared" si="2"/>
        <v>21995.5</v>
      </c>
    </row>
    <row r="21" spans="1:18" x14ac:dyDescent="0.2">
      <c r="A21" s="13" t="s">
        <v>18</v>
      </c>
      <c r="B21" s="14">
        <v>13865</v>
      </c>
      <c r="C21" s="14">
        <v>14028</v>
      </c>
      <c r="D21" s="14">
        <v>13950</v>
      </c>
      <c r="E21" s="14">
        <v>13388</v>
      </c>
      <c r="F21" s="14">
        <v>13210</v>
      </c>
      <c r="G21" s="14">
        <v>12929</v>
      </c>
      <c r="H21" s="14">
        <v>12029</v>
      </c>
      <c r="I21" s="14">
        <v>11820</v>
      </c>
      <c r="J21" s="14">
        <v>11735</v>
      </c>
      <c r="K21" s="14">
        <v>12030</v>
      </c>
      <c r="L21" s="14">
        <v>12144</v>
      </c>
      <c r="M21" s="14">
        <v>12134</v>
      </c>
      <c r="N21" s="14">
        <v>12438</v>
      </c>
      <c r="O21" s="14">
        <v>12017</v>
      </c>
      <c r="P21" s="15">
        <v>11657</v>
      </c>
      <c r="Q21" s="15">
        <f t="shared" si="1"/>
        <v>12771.833333333334</v>
      </c>
      <c r="R21" s="16">
        <f t="shared" si="2"/>
        <v>12294.25</v>
      </c>
    </row>
    <row r="22" spans="1:18" x14ac:dyDescent="0.2">
      <c r="A22" s="13" t="s">
        <v>19</v>
      </c>
      <c r="B22" s="14">
        <v>10929</v>
      </c>
      <c r="C22" s="14">
        <v>10888</v>
      </c>
      <c r="D22" s="14">
        <v>10816</v>
      </c>
      <c r="E22" s="14">
        <v>10623</v>
      </c>
      <c r="F22" s="14">
        <v>10593</v>
      </c>
      <c r="G22" s="14">
        <v>10685</v>
      </c>
      <c r="H22" s="14">
        <v>10822</v>
      </c>
      <c r="I22" s="14">
        <v>11002</v>
      </c>
      <c r="J22" s="14">
        <v>10784</v>
      </c>
      <c r="K22" s="14">
        <v>10703</v>
      </c>
      <c r="L22" s="14">
        <v>10670</v>
      </c>
      <c r="M22" s="14">
        <v>10428</v>
      </c>
      <c r="N22" s="14">
        <v>10215</v>
      </c>
      <c r="O22" s="14">
        <v>9639</v>
      </c>
      <c r="P22" s="15">
        <v>9577</v>
      </c>
      <c r="Q22" s="15">
        <f t="shared" si="1"/>
        <v>10745.25</v>
      </c>
      <c r="R22" s="16">
        <f t="shared" si="2"/>
        <v>10478.416666666666</v>
      </c>
    </row>
    <row r="23" spans="1:18" x14ac:dyDescent="0.2">
      <c r="A23" s="13" t="s">
        <v>20</v>
      </c>
      <c r="B23" s="14">
        <v>2908</v>
      </c>
      <c r="C23" s="14">
        <v>2863</v>
      </c>
      <c r="D23" s="14">
        <v>2888</v>
      </c>
      <c r="E23" s="14">
        <v>2830</v>
      </c>
      <c r="F23" s="14">
        <v>2823</v>
      </c>
      <c r="G23" s="14">
        <v>2781</v>
      </c>
      <c r="H23" s="14">
        <v>2708</v>
      </c>
      <c r="I23" s="14">
        <v>2704</v>
      </c>
      <c r="J23" s="14">
        <v>2665</v>
      </c>
      <c r="K23" s="14">
        <v>2806</v>
      </c>
      <c r="L23" s="14">
        <v>2838</v>
      </c>
      <c r="M23" s="14">
        <v>2831</v>
      </c>
      <c r="N23" s="14">
        <v>2815</v>
      </c>
      <c r="O23" s="14">
        <v>2730</v>
      </c>
      <c r="P23" s="15">
        <v>2617</v>
      </c>
      <c r="Q23" s="15">
        <f t="shared" si="1"/>
        <v>2803.75</v>
      </c>
      <c r="R23" s="16">
        <f t="shared" si="2"/>
        <v>2762.3333333333335</v>
      </c>
    </row>
    <row r="24" spans="1:18" x14ac:dyDescent="0.2">
      <c r="A24" s="13" t="s">
        <v>21</v>
      </c>
      <c r="B24" s="14">
        <v>39463</v>
      </c>
      <c r="C24" s="14">
        <v>39467</v>
      </c>
      <c r="D24" s="14">
        <v>39791</v>
      </c>
      <c r="E24" s="14">
        <v>39668</v>
      </c>
      <c r="F24" s="14">
        <v>39357</v>
      </c>
      <c r="G24" s="14">
        <v>38949</v>
      </c>
      <c r="H24" s="14">
        <v>38562</v>
      </c>
      <c r="I24" s="14">
        <v>38427</v>
      </c>
      <c r="J24" s="14">
        <v>37978</v>
      </c>
      <c r="K24" s="14">
        <v>36968</v>
      </c>
      <c r="L24" s="14">
        <v>38749</v>
      </c>
      <c r="M24" s="14">
        <v>39098</v>
      </c>
      <c r="N24" s="14">
        <v>39162</v>
      </c>
      <c r="O24" s="14">
        <v>37643</v>
      </c>
      <c r="P24" s="15">
        <v>36503</v>
      </c>
      <c r="Q24" s="15">
        <f t="shared" si="1"/>
        <v>38873.083333333336</v>
      </c>
      <c r="R24" s="16">
        <f t="shared" si="2"/>
        <v>38422</v>
      </c>
    </row>
    <row r="25" spans="1:18" x14ac:dyDescent="0.2">
      <c r="A25" s="13" t="s">
        <v>22</v>
      </c>
      <c r="B25" s="14">
        <v>12941</v>
      </c>
      <c r="C25" s="14">
        <v>13325</v>
      </c>
      <c r="D25" s="14">
        <v>13495</v>
      </c>
      <c r="E25" s="14">
        <v>12838</v>
      </c>
      <c r="F25" s="14">
        <v>12064</v>
      </c>
      <c r="G25" s="14">
        <v>11882</v>
      </c>
      <c r="H25" s="14">
        <v>11818</v>
      </c>
      <c r="I25" s="14">
        <v>11519</v>
      </c>
      <c r="J25" s="14">
        <v>11422</v>
      </c>
      <c r="K25" s="14">
        <v>11676</v>
      </c>
      <c r="L25" s="14">
        <v>11676</v>
      </c>
      <c r="M25" s="14">
        <v>11789</v>
      </c>
      <c r="N25" s="14">
        <v>11354</v>
      </c>
      <c r="O25" s="14">
        <v>11006</v>
      </c>
      <c r="P25" s="15">
        <v>10839</v>
      </c>
      <c r="Q25" s="15">
        <f t="shared" si="1"/>
        <v>12203.75</v>
      </c>
      <c r="R25" s="16">
        <f t="shared" si="2"/>
        <v>11656.916666666666</v>
      </c>
    </row>
    <row r="26" spans="1:18" x14ac:dyDescent="0.2">
      <c r="A26" s="13" t="s">
        <v>23</v>
      </c>
      <c r="B26" s="14">
        <v>10350</v>
      </c>
      <c r="C26" s="14">
        <v>10407</v>
      </c>
      <c r="D26" s="14">
        <v>10500</v>
      </c>
      <c r="E26" s="14">
        <v>10486</v>
      </c>
      <c r="F26" s="14">
        <v>10857</v>
      </c>
      <c r="G26" s="14">
        <v>10880</v>
      </c>
      <c r="H26" s="14">
        <v>10302</v>
      </c>
      <c r="I26" s="14">
        <v>10909</v>
      </c>
      <c r="J26" s="14">
        <v>11160</v>
      </c>
      <c r="K26" s="14">
        <v>11307</v>
      </c>
      <c r="L26" s="14">
        <v>11334</v>
      </c>
      <c r="M26" s="14">
        <v>11562</v>
      </c>
      <c r="N26" s="14">
        <v>11662</v>
      </c>
      <c r="O26" s="14">
        <v>11525</v>
      </c>
      <c r="P26" s="15">
        <v>11489</v>
      </c>
      <c r="Q26" s="15">
        <f t="shared" si="1"/>
        <v>10837.833333333334</v>
      </c>
      <c r="R26" s="16">
        <f t="shared" si="2"/>
        <v>11122.75</v>
      </c>
    </row>
    <row r="27" spans="1:18" x14ac:dyDescent="0.2">
      <c r="A27" s="13" t="s">
        <v>24</v>
      </c>
      <c r="B27" s="14">
        <v>40400</v>
      </c>
      <c r="C27" s="14">
        <v>39676</v>
      </c>
      <c r="D27" s="14">
        <v>40371</v>
      </c>
      <c r="E27" s="14">
        <v>39829</v>
      </c>
      <c r="F27" s="14">
        <v>39724</v>
      </c>
      <c r="G27" s="14">
        <v>38262</v>
      </c>
      <c r="H27" s="14">
        <v>37629</v>
      </c>
      <c r="I27" s="14">
        <v>37760</v>
      </c>
      <c r="J27" s="14">
        <v>37907</v>
      </c>
      <c r="K27" s="14">
        <v>38442</v>
      </c>
      <c r="L27" s="14">
        <v>38128</v>
      </c>
      <c r="M27" s="14">
        <v>38871</v>
      </c>
      <c r="N27" s="14">
        <v>38291</v>
      </c>
      <c r="O27" s="14">
        <v>36733</v>
      </c>
      <c r="P27" s="15">
        <v>36798</v>
      </c>
      <c r="Q27" s="15">
        <f t="shared" si="1"/>
        <v>38916.583333333336</v>
      </c>
      <c r="R27" s="16">
        <f t="shared" si="2"/>
        <v>38197.833333333336</v>
      </c>
    </row>
    <row r="28" spans="1:18" x14ac:dyDescent="0.2">
      <c r="A28" s="13" t="s">
        <v>25</v>
      </c>
      <c r="B28" s="14">
        <v>91111</v>
      </c>
      <c r="C28" s="14">
        <v>90560</v>
      </c>
      <c r="D28" s="14">
        <v>90144</v>
      </c>
      <c r="E28" s="14">
        <v>89063</v>
      </c>
      <c r="F28" s="14">
        <v>87801</v>
      </c>
      <c r="G28" s="14">
        <v>86922</v>
      </c>
      <c r="H28" s="14">
        <v>85996</v>
      </c>
      <c r="I28" s="14">
        <v>86403</v>
      </c>
      <c r="J28" s="14">
        <v>86060</v>
      </c>
      <c r="K28" s="14">
        <v>86234</v>
      </c>
      <c r="L28" s="14">
        <v>87672</v>
      </c>
      <c r="M28" s="14">
        <v>88468</v>
      </c>
      <c r="N28" s="14">
        <v>87733</v>
      </c>
      <c r="O28" s="14">
        <v>85636</v>
      </c>
      <c r="P28" s="15">
        <v>84221</v>
      </c>
      <c r="Q28" s="15">
        <f t="shared" si="1"/>
        <v>88036.166666666672</v>
      </c>
      <c r="R28" s="16">
        <f t="shared" si="2"/>
        <v>86850.75</v>
      </c>
    </row>
    <row r="29" spans="1:18" x14ac:dyDescent="0.2">
      <c r="A29" s="13" t="s">
        <v>26</v>
      </c>
      <c r="B29" s="14">
        <v>22828</v>
      </c>
      <c r="C29" s="14">
        <v>22486</v>
      </c>
      <c r="D29" s="14">
        <v>23085</v>
      </c>
      <c r="E29" s="14">
        <v>23538</v>
      </c>
      <c r="F29" s="14">
        <v>23106</v>
      </c>
      <c r="G29" s="14">
        <v>22628</v>
      </c>
      <c r="H29" s="14">
        <v>22685</v>
      </c>
      <c r="I29" s="14">
        <v>24443</v>
      </c>
      <c r="J29" s="14">
        <v>25348</v>
      </c>
      <c r="K29" s="14">
        <v>26061</v>
      </c>
      <c r="L29" s="14">
        <v>28428</v>
      </c>
      <c r="M29" s="14">
        <v>29537</v>
      </c>
      <c r="N29" s="14">
        <v>29752</v>
      </c>
      <c r="O29" s="14">
        <v>28262</v>
      </c>
      <c r="P29" s="15">
        <v>28346</v>
      </c>
      <c r="Q29" s="15">
        <f t="shared" si="1"/>
        <v>24514.416666666668</v>
      </c>
      <c r="R29" s="16">
        <f t="shared" si="2"/>
        <v>26011.166666666668</v>
      </c>
    </row>
    <row r="30" spans="1:18" x14ac:dyDescent="0.2">
      <c r="A30" s="13" t="s">
        <v>27</v>
      </c>
      <c r="B30" s="14">
        <v>30677</v>
      </c>
      <c r="C30" s="14">
        <v>30527</v>
      </c>
      <c r="D30" s="14">
        <v>30640</v>
      </c>
      <c r="E30" s="14">
        <v>30725</v>
      </c>
      <c r="F30" s="14">
        <v>30540</v>
      </c>
      <c r="G30" s="14">
        <v>29916</v>
      </c>
      <c r="H30" s="14">
        <v>30392</v>
      </c>
      <c r="I30" s="14">
        <v>30895</v>
      </c>
      <c r="J30" s="14">
        <v>31272</v>
      </c>
      <c r="K30" s="14">
        <v>31400</v>
      </c>
      <c r="L30" s="14">
        <v>32028</v>
      </c>
      <c r="M30" s="14">
        <v>32014</v>
      </c>
      <c r="N30" s="14">
        <v>31658</v>
      </c>
      <c r="O30" s="14">
        <v>31325</v>
      </c>
      <c r="P30" s="15">
        <v>31719</v>
      </c>
      <c r="Q30" s="15">
        <f t="shared" si="1"/>
        <v>30918.833333333332</v>
      </c>
      <c r="R30" s="16">
        <f t="shared" si="2"/>
        <v>31157</v>
      </c>
    </row>
    <row r="31" spans="1:18" x14ac:dyDescent="0.2">
      <c r="A31" s="13" t="s">
        <v>28</v>
      </c>
      <c r="B31" s="14">
        <v>2521</v>
      </c>
      <c r="C31" s="14">
        <v>2510</v>
      </c>
      <c r="D31" s="14">
        <v>2450</v>
      </c>
      <c r="E31" s="14">
        <v>2362</v>
      </c>
      <c r="F31" s="14">
        <v>2299</v>
      </c>
      <c r="G31" s="14">
        <v>2233</v>
      </c>
      <c r="H31" s="14">
        <v>2210</v>
      </c>
      <c r="I31" s="14">
        <v>2246</v>
      </c>
      <c r="J31" s="14">
        <v>2239</v>
      </c>
      <c r="K31" s="14">
        <v>2262</v>
      </c>
      <c r="L31" s="14">
        <v>2312</v>
      </c>
      <c r="M31" s="14">
        <v>2320</v>
      </c>
      <c r="N31" s="14">
        <v>2347</v>
      </c>
      <c r="O31" s="14">
        <v>2290</v>
      </c>
      <c r="P31" s="15">
        <v>2170</v>
      </c>
      <c r="Q31" s="15">
        <f t="shared" si="1"/>
        <v>2330.3333333333335</v>
      </c>
      <c r="R31" s="16">
        <f t="shared" si="2"/>
        <v>2274.1666666666665</v>
      </c>
    </row>
    <row r="32" spans="1:18" x14ac:dyDescent="0.2">
      <c r="A32" s="13" t="s">
        <v>29</v>
      </c>
      <c r="B32" s="14">
        <v>12127</v>
      </c>
      <c r="C32" s="14">
        <v>11883</v>
      </c>
      <c r="D32" s="14">
        <v>11835</v>
      </c>
      <c r="E32" s="14">
        <v>11530</v>
      </c>
      <c r="F32" s="14">
        <v>11180</v>
      </c>
      <c r="G32" s="14">
        <v>10925</v>
      </c>
      <c r="H32" s="14">
        <v>10626</v>
      </c>
      <c r="I32" s="14">
        <v>10519</v>
      </c>
      <c r="J32" s="14">
        <v>10581</v>
      </c>
      <c r="K32" s="14">
        <v>10757</v>
      </c>
      <c r="L32" s="14">
        <v>10738</v>
      </c>
      <c r="M32" s="14">
        <v>10887</v>
      </c>
      <c r="N32" s="14">
        <v>10823</v>
      </c>
      <c r="O32" s="14">
        <v>10421</v>
      </c>
      <c r="P32" s="15">
        <v>10000</v>
      </c>
      <c r="Q32" s="15">
        <f t="shared" si="1"/>
        <v>11132.333333333334</v>
      </c>
      <c r="R32" s="16">
        <f t="shared" si="2"/>
        <v>10748.916666666666</v>
      </c>
    </row>
    <row r="33" spans="1:18" x14ac:dyDescent="0.2">
      <c r="A33" s="13" t="s">
        <v>30</v>
      </c>
      <c r="B33" s="14">
        <v>3440</v>
      </c>
      <c r="C33" s="14">
        <v>3333</v>
      </c>
      <c r="D33" s="14">
        <v>3362</v>
      </c>
      <c r="E33" s="14">
        <v>3548</v>
      </c>
      <c r="F33" s="14">
        <v>3639</v>
      </c>
      <c r="G33" s="14">
        <v>3579</v>
      </c>
      <c r="H33" s="14">
        <v>3468</v>
      </c>
      <c r="I33" s="14">
        <v>3482</v>
      </c>
      <c r="J33" s="14">
        <v>3393</v>
      </c>
      <c r="K33" s="14">
        <v>3340</v>
      </c>
      <c r="L33" s="14">
        <v>3283</v>
      </c>
      <c r="M33" s="14">
        <v>3283</v>
      </c>
      <c r="N33" s="14">
        <v>3167</v>
      </c>
      <c r="O33" s="14">
        <v>3014</v>
      </c>
      <c r="P33" s="15">
        <v>2938</v>
      </c>
      <c r="Q33" s="15">
        <f t="shared" si="1"/>
        <v>3429.1666666666665</v>
      </c>
      <c r="R33" s="16">
        <f t="shared" si="2"/>
        <v>3344.5</v>
      </c>
    </row>
    <row r="34" spans="1:18" x14ac:dyDescent="0.2">
      <c r="A34" s="13" t="s">
        <v>31</v>
      </c>
      <c r="B34" s="14">
        <v>5848</v>
      </c>
      <c r="C34" s="14">
        <v>5731</v>
      </c>
      <c r="D34" s="14">
        <v>5567</v>
      </c>
      <c r="E34" s="14">
        <v>5348</v>
      </c>
      <c r="F34" s="14">
        <v>5395</v>
      </c>
      <c r="G34" s="14">
        <v>5102</v>
      </c>
      <c r="H34" s="14">
        <v>4921</v>
      </c>
      <c r="I34" s="14">
        <v>5056</v>
      </c>
      <c r="J34" s="14">
        <v>4994</v>
      </c>
      <c r="K34" s="14">
        <v>4986</v>
      </c>
      <c r="L34" s="14">
        <v>5139</v>
      </c>
      <c r="M34" s="14">
        <v>5063</v>
      </c>
      <c r="N34" s="14">
        <v>5055</v>
      </c>
      <c r="O34" s="14">
        <v>4867</v>
      </c>
      <c r="P34" s="15">
        <v>4752</v>
      </c>
      <c r="Q34" s="15">
        <f t="shared" si="1"/>
        <v>5262.5</v>
      </c>
      <c r="R34" s="16">
        <f t="shared" si="2"/>
        <v>5056.5</v>
      </c>
    </row>
    <row r="35" spans="1:18" x14ac:dyDescent="0.2">
      <c r="A35" s="13" t="s">
        <v>32</v>
      </c>
      <c r="B35" s="14">
        <v>14474</v>
      </c>
      <c r="C35" s="14">
        <v>13845</v>
      </c>
      <c r="D35" s="14">
        <v>13788</v>
      </c>
      <c r="E35" s="14">
        <v>13577</v>
      </c>
      <c r="F35" s="14">
        <v>13185</v>
      </c>
      <c r="G35" s="14">
        <v>12897</v>
      </c>
      <c r="H35" s="14">
        <v>12563</v>
      </c>
      <c r="I35" s="14">
        <v>12319</v>
      </c>
      <c r="J35" s="14">
        <v>11894</v>
      </c>
      <c r="K35" s="14">
        <v>11796</v>
      </c>
      <c r="L35" s="14">
        <v>11530</v>
      </c>
      <c r="M35" s="14">
        <v>11412</v>
      </c>
      <c r="N35" s="14">
        <v>11559</v>
      </c>
      <c r="O35" s="14">
        <v>10839</v>
      </c>
      <c r="P35" s="15">
        <v>10820</v>
      </c>
      <c r="Q35" s="15">
        <f t="shared" si="1"/>
        <v>12773.333333333334</v>
      </c>
      <c r="R35" s="16">
        <f t="shared" si="2"/>
        <v>12032.583333333334</v>
      </c>
    </row>
    <row r="36" spans="1:18" x14ac:dyDescent="0.2">
      <c r="A36" s="13" t="s">
        <v>33</v>
      </c>
      <c r="B36" s="14">
        <v>5061</v>
      </c>
      <c r="C36" s="14">
        <v>4998</v>
      </c>
      <c r="D36" s="14">
        <v>5062</v>
      </c>
      <c r="E36" s="14">
        <v>5111</v>
      </c>
      <c r="F36" s="14">
        <v>5082</v>
      </c>
      <c r="G36" s="14">
        <v>5055</v>
      </c>
      <c r="H36" s="14">
        <v>5019</v>
      </c>
      <c r="I36" s="14">
        <v>5061</v>
      </c>
      <c r="J36" s="14">
        <v>5101</v>
      </c>
      <c r="K36" s="14">
        <v>5075</v>
      </c>
      <c r="L36" s="14">
        <v>5063</v>
      </c>
      <c r="M36" s="14">
        <v>5046</v>
      </c>
      <c r="N36" s="14">
        <v>5060</v>
      </c>
      <c r="O36" s="14">
        <v>4929</v>
      </c>
      <c r="P36" s="15">
        <v>4869</v>
      </c>
      <c r="Q36" s="15">
        <f t="shared" si="1"/>
        <v>5061.166666666667</v>
      </c>
      <c r="R36" s="16">
        <f t="shared" si="2"/>
        <v>5039.25</v>
      </c>
    </row>
    <row r="37" spans="1:18" x14ac:dyDescent="0.2">
      <c r="A37" s="13" t="s">
        <v>34</v>
      </c>
      <c r="B37" s="14">
        <v>22543</v>
      </c>
      <c r="C37" s="14">
        <v>22511</v>
      </c>
      <c r="D37" s="14">
        <v>22345</v>
      </c>
      <c r="E37" s="14">
        <v>21981</v>
      </c>
      <c r="F37" s="14">
        <v>21742</v>
      </c>
      <c r="G37" s="14">
        <v>21337</v>
      </c>
      <c r="H37" s="14">
        <v>20828</v>
      </c>
      <c r="I37" s="14">
        <v>20290</v>
      </c>
      <c r="J37" s="14">
        <v>19818</v>
      </c>
      <c r="K37" s="14">
        <v>19479</v>
      </c>
      <c r="L37" s="14">
        <v>18760</v>
      </c>
      <c r="M37" s="14">
        <v>19393</v>
      </c>
      <c r="N37" s="14">
        <v>19553</v>
      </c>
      <c r="O37" s="14">
        <v>19037</v>
      </c>
      <c r="P37" s="15">
        <v>18806</v>
      </c>
      <c r="Q37" s="15">
        <f t="shared" si="1"/>
        <v>20918.916666666668</v>
      </c>
      <c r="R37" s="16">
        <f t="shared" si="2"/>
        <v>20085.333333333332</v>
      </c>
    </row>
    <row r="38" spans="1:18" x14ac:dyDescent="0.2">
      <c r="A38" s="13" t="s">
        <v>35</v>
      </c>
      <c r="B38" s="14">
        <v>19059</v>
      </c>
      <c r="C38" s="14">
        <v>18229</v>
      </c>
      <c r="D38" s="14">
        <v>17941</v>
      </c>
      <c r="E38" s="14">
        <v>17801</v>
      </c>
      <c r="F38" s="14">
        <v>17076</v>
      </c>
      <c r="G38" s="14">
        <v>16438</v>
      </c>
      <c r="H38" s="14">
        <v>16009</v>
      </c>
      <c r="I38" s="14">
        <v>15665</v>
      </c>
      <c r="J38" s="14">
        <v>15543</v>
      </c>
      <c r="K38" s="14">
        <v>15894</v>
      </c>
      <c r="L38" s="14">
        <v>16357</v>
      </c>
      <c r="M38" s="14">
        <v>16464</v>
      </c>
      <c r="N38" s="14">
        <v>16445</v>
      </c>
      <c r="O38" s="14">
        <v>15810</v>
      </c>
      <c r="P38" s="15">
        <v>15540</v>
      </c>
      <c r="Q38" s="15">
        <f t="shared" si="1"/>
        <v>16873</v>
      </c>
      <c r="R38" s="16">
        <f t="shared" si="2"/>
        <v>16253.5</v>
      </c>
    </row>
    <row r="39" spans="1:18" x14ac:dyDescent="0.2">
      <c r="A39" s="13" t="s">
        <v>36</v>
      </c>
      <c r="B39" s="14">
        <v>349176</v>
      </c>
      <c r="C39" s="14">
        <v>349011</v>
      </c>
      <c r="D39" s="14">
        <v>349958</v>
      </c>
      <c r="E39" s="14">
        <v>349821</v>
      </c>
      <c r="F39" s="14">
        <v>346811</v>
      </c>
      <c r="G39" s="14">
        <v>351531</v>
      </c>
      <c r="H39" s="14">
        <v>349087</v>
      </c>
      <c r="I39" s="14">
        <v>352944</v>
      </c>
      <c r="J39" s="14">
        <v>354178</v>
      </c>
      <c r="K39" s="14">
        <v>353344</v>
      </c>
      <c r="L39" s="14">
        <v>350452</v>
      </c>
      <c r="M39" s="14">
        <v>353004</v>
      </c>
      <c r="N39" s="14">
        <v>353607</v>
      </c>
      <c r="O39" s="14">
        <v>352919</v>
      </c>
      <c r="P39" s="15">
        <v>351646</v>
      </c>
      <c r="Q39" s="15">
        <f t="shared" si="1"/>
        <v>350776.41666666669</v>
      </c>
      <c r="R39" s="16">
        <f t="shared" si="2"/>
        <v>351612</v>
      </c>
    </row>
    <row r="40" spans="1:18" x14ac:dyDescent="0.2">
      <c r="A40" s="13" t="s">
        <v>37</v>
      </c>
      <c r="B40" s="14">
        <v>11868</v>
      </c>
      <c r="C40" s="14">
        <v>11585</v>
      </c>
      <c r="D40" s="14">
        <v>10916</v>
      </c>
      <c r="E40" s="14">
        <v>11157</v>
      </c>
      <c r="F40" s="14">
        <v>10669</v>
      </c>
      <c r="G40" s="14">
        <v>10221</v>
      </c>
      <c r="H40" s="14">
        <v>10030</v>
      </c>
      <c r="I40" s="14">
        <v>10024</v>
      </c>
      <c r="J40" s="14">
        <v>9627</v>
      </c>
      <c r="K40" s="14">
        <v>10047</v>
      </c>
      <c r="L40" s="14">
        <v>10128</v>
      </c>
      <c r="M40" s="14">
        <v>9676</v>
      </c>
      <c r="N40" s="14">
        <v>9756</v>
      </c>
      <c r="O40" s="14">
        <v>9564</v>
      </c>
      <c r="P40" s="15">
        <v>9056</v>
      </c>
      <c r="Q40" s="15">
        <f t="shared" si="1"/>
        <v>10495.666666666666</v>
      </c>
      <c r="R40" s="16">
        <f t="shared" si="2"/>
        <v>9996.25</v>
      </c>
    </row>
    <row r="41" spans="1:18" x14ac:dyDescent="0.2">
      <c r="A41" s="13" t="s">
        <v>38</v>
      </c>
      <c r="B41" s="14">
        <v>1792</v>
      </c>
      <c r="C41" s="14">
        <v>1797</v>
      </c>
      <c r="D41" s="14">
        <v>1771</v>
      </c>
      <c r="E41" s="14">
        <v>1840</v>
      </c>
      <c r="F41" s="14">
        <v>1896</v>
      </c>
      <c r="G41" s="14">
        <v>1818</v>
      </c>
      <c r="H41" s="14">
        <v>1842</v>
      </c>
      <c r="I41" s="14">
        <v>1795</v>
      </c>
      <c r="J41" s="14">
        <v>1837</v>
      </c>
      <c r="K41" s="14">
        <v>1827</v>
      </c>
      <c r="L41" s="14">
        <v>1873</v>
      </c>
      <c r="M41" s="14">
        <v>1867</v>
      </c>
      <c r="N41" s="14">
        <v>1871</v>
      </c>
      <c r="O41" s="14">
        <v>1842</v>
      </c>
      <c r="P41" s="15">
        <v>1805</v>
      </c>
      <c r="Q41" s="15">
        <f t="shared" si="1"/>
        <v>1829.5833333333333</v>
      </c>
      <c r="R41" s="16">
        <f t="shared" si="2"/>
        <v>1842.75</v>
      </c>
    </row>
    <row r="42" spans="1:18" x14ac:dyDescent="0.2">
      <c r="A42" s="13" t="s">
        <v>39</v>
      </c>
      <c r="B42" s="14">
        <v>69452</v>
      </c>
      <c r="C42" s="14">
        <v>69024</v>
      </c>
      <c r="D42" s="14">
        <v>68796</v>
      </c>
      <c r="E42" s="14">
        <v>67249</v>
      </c>
      <c r="F42" s="14">
        <v>66124</v>
      </c>
      <c r="G42" s="14">
        <v>65518</v>
      </c>
      <c r="H42" s="14">
        <v>64722</v>
      </c>
      <c r="I42" s="14">
        <v>63861</v>
      </c>
      <c r="J42" s="14">
        <v>63044</v>
      </c>
      <c r="K42" s="14">
        <v>63820</v>
      </c>
      <c r="L42" s="14">
        <v>65279</v>
      </c>
      <c r="M42" s="14">
        <v>63750</v>
      </c>
      <c r="N42" s="14">
        <v>63441</v>
      </c>
      <c r="O42" s="14">
        <v>61948</v>
      </c>
      <c r="P42" s="15">
        <v>61114</v>
      </c>
      <c r="Q42" s="15">
        <f t="shared" si="1"/>
        <v>65886.583333333328</v>
      </c>
      <c r="R42" s="16">
        <f t="shared" si="2"/>
        <v>64155.833333333336</v>
      </c>
    </row>
    <row r="43" spans="1:18" x14ac:dyDescent="0.2">
      <c r="A43" s="13" t="s">
        <v>40</v>
      </c>
      <c r="B43" s="14">
        <v>6508</v>
      </c>
      <c r="C43" s="14">
        <v>6488</v>
      </c>
      <c r="D43" s="14">
        <v>6637</v>
      </c>
      <c r="E43" s="14">
        <v>6899</v>
      </c>
      <c r="F43" s="14">
        <v>6868</v>
      </c>
      <c r="G43" s="14">
        <v>6795</v>
      </c>
      <c r="H43" s="14">
        <v>6965</v>
      </c>
      <c r="I43" s="14">
        <v>7048</v>
      </c>
      <c r="J43" s="14">
        <v>7169</v>
      </c>
      <c r="K43" s="14">
        <v>7094</v>
      </c>
      <c r="L43" s="14">
        <v>7079</v>
      </c>
      <c r="M43" s="14">
        <v>7149</v>
      </c>
      <c r="N43" s="14">
        <v>7259</v>
      </c>
      <c r="O43" s="14">
        <v>6871</v>
      </c>
      <c r="P43" s="15">
        <v>6611</v>
      </c>
      <c r="Q43" s="15">
        <f t="shared" si="1"/>
        <v>6891.583333333333</v>
      </c>
      <c r="R43" s="16">
        <f t="shared" si="2"/>
        <v>6983.916666666667</v>
      </c>
    </row>
    <row r="44" spans="1:18" x14ac:dyDescent="0.2">
      <c r="A44" s="13" t="s">
        <v>41</v>
      </c>
      <c r="B44" s="14">
        <v>42528</v>
      </c>
      <c r="C44" s="14">
        <v>42052</v>
      </c>
      <c r="D44" s="14">
        <v>42235</v>
      </c>
      <c r="E44" s="14">
        <v>42674</v>
      </c>
      <c r="F44" s="14">
        <v>42299</v>
      </c>
      <c r="G44" s="14">
        <v>42234</v>
      </c>
      <c r="H44" s="14">
        <v>42471</v>
      </c>
      <c r="I44" s="14">
        <v>42255</v>
      </c>
      <c r="J44" s="14">
        <v>42377</v>
      </c>
      <c r="K44" s="14">
        <v>42734</v>
      </c>
      <c r="L44" s="14">
        <v>42826</v>
      </c>
      <c r="M44" s="14">
        <v>42843</v>
      </c>
      <c r="N44" s="14">
        <v>42541</v>
      </c>
      <c r="O44" s="14">
        <v>40964</v>
      </c>
      <c r="P44" s="15">
        <v>40871</v>
      </c>
      <c r="Q44" s="15">
        <f t="shared" si="1"/>
        <v>42460.666666666664</v>
      </c>
      <c r="R44" s="16">
        <f t="shared" si="2"/>
        <v>42257.416666666664</v>
      </c>
    </row>
    <row r="45" spans="1:18" x14ac:dyDescent="0.2">
      <c r="A45" s="13" t="s">
        <v>42</v>
      </c>
      <c r="B45" s="14">
        <v>55922</v>
      </c>
      <c r="C45" s="14">
        <v>53723</v>
      </c>
      <c r="D45" s="14">
        <v>52200</v>
      </c>
      <c r="E45" s="14">
        <v>52052</v>
      </c>
      <c r="F45" s="14">
        <v>50046</v>
      </c>
      <c r="G45" s="14">
        <v>48718</v>
      </c>
      <c r="H45" s="14">
        <v>48435</v>
      </c>
      <c r="I45" s="14">
        <v>47841</v>
      </c>
      <c r="J45" s="14">
        <v>47238</v>
      </c>
      <c r="K45" s="14">
        <v>47701</v>
      </c>
      <c r="L45" s="14">
        <v>46926</v>
      </c>
      <c r="M45" s="14">
        <v>46926</v>
      </c>
      <c r="N45" s="14">
        <v>46761</v>
      </c>
      <c r="O45" s="14">
        <v>44521</v>
      </c>
      <c r="P45" s="15">
        <v>43310</v>
      </c>
      <c r="Q45" s="15">
        <f t="shared" si="1"/>
        <v>49810.666666666664</v>
      </c>
      <c r="R45" s="16">
        <f t="shared" si="2"/>
        <v>47539.583333333336</v>
      </c>
    </row>
    <row r="46" spans="1:18" x14ac:dyDescent="0.2">
      <c r="A46" s="13" t="s">
        <v>43</v>
      </c>
      <c r="B46" s="14">
        <v>7011</v>
      </c>
      <c r="C46" s="14">
        <v>7153</v>
      </c>
      <c r="D46" s="14">
        <v>7061</v>
      </c>
      <c r="E46" s="14">
        <v>6748</v>
      </c>
      <c r="F46" s="14">
        <v>6620</v>
      </c>
      <c r="G46" s="14">
        <v>6544</v>
      </c>
      <c r="H46" s="14">
        <v>6305</v>
      </c>
      <c r="I46" s="14">
        <v>6445</v>
      </c>
      <c r="J46" s="14">
        <v>6563</v>
      </c>
      <c r="K46" s="14">
        <v>6874</v>
      </c>
      <c r="L46" s="14">
        <v>6990</v>
      </c>
      <c r="M46" s="14">
        <v>7047</v>
      </c>
      <c r="N46" s="14">
        <v>6911</v>
      </c>
      <c r="O46" s="14">
        <v>7139</v>
      </c>
      <c r="P46" s="15">
        <v>7161</v>
      </c>
      <c r="Q46" s="15">
        <f t="shared" si="1"/>
        <v>6780.083333333333</v>
      </c>
      <c r="R46" s="16">
        <f t="shared" si="2"/>
        <v>6778.916666666667</v>
      </c>
    </row>
    <row r="47" spans="1:18" x14ac:dyDescent="0.2">
      <c r="A47" s="13" t="s">
        <v>44</v>
      </c>
      <c r="B47" s="14">
        <v>9944</v>
      </c>
      <c r="C47" s="14">
        <v>9867</v>
      </c>
      <c r="D47" s="14">
        <v>9688</v>
      </c>
      <c r="E47" s="14">
        <v>9920</v>
      </c>
      <c r="F47" s="14">
        <v>10120</v>
      </c>
      <c r="G47" s="14">
        <v>9993</v>
      </c>
      <c r="H47" s="14">
        <v>9962</v>
      </c>
      <c r="I47" s="14">
        <v>9854</v>
      </c>
      <c r="J47" s="14">
        <v>9731</v>
      </c>
      <c r="K47" s="14">
        <v>9679</v>
      </c>
      <c r="L47" s="14">
        <v>9853</v>
      </c>
      <c r="M47" s="14">
        <v>9691</v>
      </c>
      <c r="N47" s="14">
        <v>9511</v>
      </c>
      <c r="O47" s="14">
        <v>9018</v>
      </c>
      <c r="P47" s="15">
        <v>8693</v>
      </c>
      <c r="Q47" s="15">
        <f t="shared" si="1"/>
        <v>9858.5</v>
      </c>
      <c r="R47" s="16">
        <f t="shared" si="2"/>
        <v>9668.75</v>
      </c>
    </row>
    <row r="48" spans="1:18" x14ac:dyDescent="0.2">
      <c r="A48" s="13" t="s">
        <v>45</v>
      </c>
      <c r="B48" s="14">
        <v>13446</v>
      </c>
      <c r="C48" s="14">
        <v>13607</v>
      </c>
      <c r="D48" s="14">
        <v>13466</v>
      </c>
      <c r="E48" s="14">
        <v>12810</v>
      </c>
      <c r="F48" s="14">
        <v>12889</v>
      </c>
      <c r="G48" s="14">
        <v>12554</v>
      </c>
      <c r="H48" s="14">
        <v>12173</v>
      </c>
      <c r="I48" s="14">
        <v>12328</v>
      </c>
      <c r="J48" s="14">
        <v>12278</v>
      </c>
      <c r="K48" s="14">
        <v>12384</v>
      </c>
      <c r="L48" s="14">
        <v>12237</v>
      </c>
      <c r="M48" s="14">
        <v>12302</v>
      </c>
      <c r="N48" s="14">
        <v>12335</v>
      </c>
      <c r="O48" s="14">
        <v>11864</v>
      </c>
      <c r="P48" s="15">
        <v>11659</v>
      </c>
      <c r="Q48" s="15">
        <f t="shared" si="1"/>
        <v>12706.166666666666</v>
      </c>
      <c r="R48" s="16">
        <f t="shared" si="2"/>
        <v>12317.75</v>
      </c>
    </row>
    <row r="49" spans="1:18" x14ac:dyDescent="0.2">
      <c r="A49" s="13" t="s">
        <v>46</v>
      </c>
      <c r="B49" s="14">
        <v>5187</v>
      </c>
      <c r="C49" s="14">
        <v>5174</v>
      </c>
      <c r="D49" s="14">
        <v>5145</v>
      </c>
      <c r="E49" s="14">
        <v>5150</v>
      </c>
      <c r="F49" s="14">
        <v>5067</v>
      </c>
      <c r="G49" s="14">
        <v>5012</v>
      </c>
      <c r="H49" s="14">
        <v>4960</v>
      </c>
      <c r="I49" s="14">
        <v>4893</v>
      </c>
      <c r="J49" s="14">
        <v>4809</v>
      </c>
      <c r="K49" s="14">
        <v>4803</v>
      </c>
      <c r="L49" s="14">
        <v>4837</v>
      </c>
      <c r="M49" s="14">
        <v>4873</v>
      </c>
      <c r="N49" s="14">
        <v>4895</v>
      </c>
      <c r="O49" s="14">
        <v>4793</v>
      </c>
      <c r="P49" s="15">
        <v>4694</v>
      </c>
      <c r="Q49" s="15">
        <f t="shared" si="1"/>
        <v>4992.5</v>
      </c>
      <c r="R49" s="16">
        <f t="shared" si="2"/>
        <v>4898.833333333333</v>
      </c>
    </row>
    <row r="50" spans="1:18" x14ac:dyDescent="0.2">
      <c r="A50" s="13" t="s">
        <v>47</v>
      </c>
      <c r="B50" s="14">
        <v>30347</v>
      </c>
      <c r="C50" s="14">
        <v>29926</v>
      </c>
      <c r="D50" s="14">
        <v>29680</v>
      </c>
      <c r="E50" s="14">
        <v>28404</v>
      </c>
      <c r="F50" s="14">
        <v>27812</v>
      </c>
      <c r="G50" s="14">
        <v>27236</v>
      </c>
      <c r="H50" s="14">
        <v>27592</v>
      </c>
      <c r="I50" s="14">
        <v>28378</v>
      </c>
      <c r="J50" s="14">
        <v>28863</v>
      </c>
      <c r="K50" s="14">
        <v>29480</v>
      </c>
      <c r="L50" s="14">
        <v>30142</v>
      </c>
      <c r="M50" s="14">
        <v>30664</v>
      </c>
      <c r="N50" s="14">
        <v>30502</v>
      </c>
      <c r="O50" s="14">
        <v>29548</v>
      </c>
      <c r="P50" s="15">
        <v>28830</v>
      </c>
      <c r="Q50" s="15">
        <f t="shared" si="1"/>
        <v>29043.666666666668</v>
      </c>
      <c r="R50" s="16">
        <f t="shared" si="2"/>
        <v>28954.25</v>
      </c>
    </row>
    <row r="51" spans="1:18" x14ac:dyDescent="0.2">
      <c r="A51" s="13" t="s">
        <v>48</v>
      </c>
      <c r="B51" s="14">
        <v>23223</v>
      </c>
      <c r="C51" s="14">
        <v>23889</v>
      </c>
      <c r="D51" s="14">
        <v>24222</v>
      </c>
      <c r="E51" s="14">
        <v>23798</v>
      </c>
      <c r="F51" s="14">
        <v>22781</v>
      </c>
      <c r="G51" s="14">
        <v>21937</v>
      </c>
      <c r="H51" s="14">
        <v>21952</v>
      </c>
      <c r="I51" s="14">
        <v>21775</v>
      </c>
      <c r="J51" s="14">
        <v>22422</v>
      </c>
      <c r="K51" s="14">
        <v>23759</v>
      </c>
      <c r="L51" s="14">
        <v>25139</v>
      </c>
      <c r="M51" s="14">
        <v>26188</v>
      </c>
      <c r="N51" s="14">
        <v>26978</v>
      </c>
      <c r="O51" s="14">
        <v>26170</v>
      </c>
      <c r="P51" s="15">
        <v>25997</v>
      </c>
      <c r="Q51" s="15">
        <f t="shared" si="1"/>
        <v>23423.75</v>
      </c>
      <c r="R51" s="16">
        <f t="shared" si="2"/>
        <v>24074.666666666668</v>
      </c>
    </row>
    <row r="52" spans="1:18" x14ac:dyDescent="0.2">
      <c r="A52" s="13" t="s">
        <v>49</v>
      </c>
      <c r="B52" s="14">
        <v>4646</v>
      </c>
      <c r="C52" s="14">
        <v>4537</v>
      </c>
      <c r="D52" s="14">
        <v>4559</v>
      </c>
      <c r="E52" s="14">
        <v>5491</v>
      </c>
      <c r="F52" s="14">
        <v>5411</v>
      </c>
      <c r="G52" s="14">
        <v>5422</v>
      </c>
      <c r="H52" s="14">
        <v>4509</v>
      </c>
      <c r="I52" s="14">
        <v>4464</v>
      </c>
      <c r="J52" s="14">
        <v>4352</v>
      </c>
      <c r="K52" s="14">
        <v>4309</v>
      </c>
      <c r="L52" s="14">
        <v>4257</v>
      </c>
      <c r="M52" s="14">
        <v>4239</v>
      </c>
      <c r="N52" s="14">
        <v>4295</v>
      </c>
      <c r="O52" s="14">
        <v>4111</v>
      </c>
      <c r="P52" s="15">
        <v>4017</v>
      </c>
      <c r="Q52" s="15">
        <f t="shared" si="1"/>
        <v>4683</v>
      </c>
      <c r="R52" s="16">
        <f t="shared" si="2"/>
        <v>4573.083333333333</v>
      </c>
    </row>
    <row r="53" spans="1:18" x14ac:dyDescent="0.2">
      <c r="A53" s="13" t="s">
        <v>50</v>
      </c>
      <c r="B53" s="14">
        <v>3515</v>
      </c>
      <c r="C53" s="14">
        <v>3477</v>
      </c>
      <c r="D53" s="14">
        <v>3279</v>
      </c>
      <c r="E53" s="14">
        <v>3385</v>
      </c>
      <c r="F53" s="14">
        <v>3191</v>
      </c>
      <c r="G53" s="14">
        <v>3222</v>
      </c>
      <c r="H53" s="14">
        <v>3240</v>
      </c>
      <c r="I53" s="14">
        <v>3197</v>
      </c>
      <c r="J53" s="14">
        <v>3120</v>
      </c>
      <c r="K53" s="14">
        <v>3179</v>
      </c>
      <c r="L53" s="14">
        <v>3200</v>
      </c>
      <c r="M53" s="14">
        <v>3099</v>
      </c>
      <c r="N53" s="14">
        <v>3285</v>
      </c>
      <c r="O53" s="14">
        <v>2859</v>
      </c>
      <c r="P53" s="15">
        <v>2720</v>
      </c>
      <c r="Q53" s="15">
        <f t="shared" si="1"/>
        <v>3258.6666666666665</v>
      </c>
      <c r="R53" s="16">
        <f t="shared" si="2"/>
        <v>3141.4166666666665</v>
      </c>
    </row>
    <row r="54" spans="1:18" x14ac:dyDescent="0.2">
      <c r="A54" s="13" t="s">
        <v>51</v>
      </c>
      <c r="B54" s="14">
        <v>144</v>
      </c>
      <c r="C54" s="14">
        <v>145</v>
      </c>
      <c r="D54" s="14">
        <v>137</v>
      </c>
      <c r="E54" s="14">
        <v>145</v>
      </c>
      <c r="F54" s="14">
        <v>135</v>
      </c>
      <c r="G54" s="14">
        <v>131</v>
      </c>
      <c r="H54" s="14">
        <v>116</v>
      </c>
      <c r="I54" s="14">
        <v>118</v>
      </c>
      <c r="J54" s="14">
        <v>121</v>
      </c>
      <c r="K54" s="14">
        <v>115</v>
      </c>
      <c r="L54" s="14">
        <v>115</v>
      </c>
      <c r="M54" s="14">
        <v>109</v>
      </c>
      <c r="N54" s="14">
        <v>105</v>
      </c>
      <c r="O54" s="14">
        <v>105</v>
      </c>
      <c r="P54" s="15">
        <v>94</v>
      </c>
      <c r="Q54" s="15">
        <f t="shared" si="1"/>
        <v>127.58333333333333</v>
      </c>
      <c r="R54" s="16">
        <f t="shared" si="2"/>
        <v>117.41666666666667</v>
      </c>
    </row>
    <row r="55" spans="1:18" x14ac:dyDescent="0.2">
      <c r="A55" s="13" t="s">
        <v>52</v>
      </c>
      <c r="B55" s="14">
        <v>28923</v>
      </c>
      <c r="C55" s="14">
        <v>28700</v>
      </c>
      <c r="D55" s="14">
        <v>28504</v>
      </c>
      <c r="E55" s="14">
        <v>27391</v>
      </c>
      <c r="F55" s="14">
        <v>26874</v>
      </c>
      <c r="G55" s="14">
        <v>26383</v>
      </c>
      <c r="H55" s="14">
        <v>25995</v>
      </c>
      <c r="I55" s="14">
        <v>25791</v>
      </c>
      <c r="J55" s="14">
        <v>25578</v>
      </c>
      <c r="K55" s="14">
        <v>25398</v>
      </c>
      <c r="L55" s="14">
        <v>25173</v>
      </c>
      <c r="M55" s="14">
        <v>24941</v>
      </c>
      <c r="N55" s="14">
        <v>24697</v>
      </c>
      <c r="O55" s="14">
        <v>23846</v>
      </c>
      <c r="P55" s="15">
        <v>23287</v>
      </c>
      <c r="Q55" s="15">
        <f t="shared" si="1"/>
        <v>26637.583333333332</v>
      </c>
      <c r="R55" s="16">
        <f t="shared" si="2"/>
        <v>25446.166666666668</v>
      </c>
    </row>
    <row r="56" spans="1:18" x14ac:dyDescent="0.2">
      <c r="A56" s="13" t="s">
        <v>53</v>
      </c>
      <c r="B56" s="14">
        <v>89828</v>
      </c>
      <c r="C56" s="14">
        <v>90432</v>
      </c>
      <c r="D56" s="14">
        <v>90975</v>
      </c>
      <c r="E56" s="14">
        <v>92175</v>
      </c>
      <c r="F56" s="14">
        <v>90944</v>
      </c>
      <c r="G56" s="14">
        <v>90138</v>
      </c>
      <c r="H56" s="14">
        <v>88894</v>
      </c>
      <c r="I56" s="14">
        <v>88024</v>
      </c>
      <c r="J56" s="14">
        <v>86680</v>
      </c>
      <c r="K56" s="14">
        <v>83949</v>
      </c>
      <c r="L56" s="14">
        <v>83612</v>
      </c>
      <c r="M56" s="14">
        <v>82691</v>
      </c>
      <c r="N56" s="14">
        <v>81931</v>
      </c>
      <c r="O56" s="14">
        <v>79227</v>
      </c>
      <c r="P56" s="15">
        <v>79275</v>
      </c>
      <c r="Q56" s="15">
        <f t="shared" si="1"/>
        <v>88195.166666666672</v>
      </c>
      <c r="R56" s="16">
        <f t="shared" si="2"/>
        <v>85628.333333333328</v>
      </c>
    </row>
    <row r="57" spans="1:18" x14ac:dyDescent="0.2">
      <c r="A57" s="13" t="s">
        <v>54</v>
      </c>
      <c r="B57" s="14">
        <v>9017</v>
      </c>
      <c r="C57" s="14">
        <v>9016</v>
      </c>
      <c r="D57" s="14">
        <v>9034</v>
      </c>
      <c r="E57" s="14">
        <v>8963</v>
      </c>
      <c r="F57" s="14">
        <v>8926</v>
      </c>
      <c r="G57" s="14">
        <v>8808</v>
      </c>
      <c r="H57" s="14">
        <v>8789</v>
      </c>
      <c r="I57" s="14">
        <v>8708</v>
      </c>
      <c r="J57" s="14">
        <v>8474</v>
      </c>
      <c r="K57" s="14">
        <v>8423</v>
      </c>
      <c r="L57" s="14">
        <v>8613</v>
      </c>
      <c r="M57" s="14">
        <v>8726</v>
      </c>
      <c r="N57" s="14">
        <v>8652</v>
      </c>
      <c r="O57" s="14">
        <v>8228</v>
      </c>
      <c r="P57" s="15">
        <v>7946</v>
      </c>
      <c r="Q57" s="15">
        <f t="shared" si="1"/>
        <v>8791.4166666666661</v>
      </c>
      <c r="R57" s="16">
        <f t="shared" si="2"/>
        <v>8604.6666666666661</v>
      </c>
    </row>
    <row r="58" spans="1:18" x14ac:dyDescent="0.2">
      <c r="A58" s="13" t="s">
        <v>55</v>
      </c>
      <c r="B58" s="14">
        <v>23705</v>
      </c>
      <c r="C58" s="14">
        <v>23514</v>
      </c>
      <c r="D58" s="14">
        <v>23726</v>
      </c>
      <c r="E58" s="14">
        <v>23260</v>
      </c>
      <c r="F58" s="14">
        <v>23292</v>
      </c>
      <c r="G58" s="14">
        <v>22976</v>
      </c>
      <c r="H58" s="14">
        <v>22668</v>
      </c>
      <c r="I58" s="14">
        <v>22673</v>
      </c>
      <c r="J58" s="14">
        <v>22660</v>
      </c>
      <c r="K58" s="14">
        <v>22368</v>
      </c>
      <c r="L58" s="14">
        <v>22257</v>
      </c>
      <c r="M58" s="14">
        <v>22684</v>
      </c>
      <c r="N58" s="14">
        <v>22446</v>
      </c>
      <c r="O58" s="14">
        <v>22536</v>
      </c>
      <c r="P58" s="15">
        <v>22308</v>
      </c>
      <c r="Q58" s="15">
        <f t="shared" si="1"/>
        <v>22981.916666666668</v>
      </c>
      <c r="R58" s="16">
        <f t="shared" si="2"/>
        <v>22677.333333333332</v>
      </c>
    </row>
    <row r="59" spans="1:18" x14ac:dyDescent="0.2">
      <c r="A59" s="23" t="s">
        <v>56</v>
      </c>
      <c r="B59" s="24">
        <v>1127</v>
      </c>
      <c r="C59" s="24">
        <v>1105</v>
      </c>
      <c r="D59" s="24">
        <v>1177</v>
      </c>
      <c r="E59" s="24">
        <v>1127</v>
      </c>
      <c r="F59" s="24">
        <v>1120</v>
      </c>
      <c r="G59" s="24">
        <v>1143</v>
      </c>
      <c r="H59" s="24">
        <v>1114</v>
      </c>
      <c r="I59" s="24">
        <v>1205</v>
      </c>
      <c r="J59" s="24">
        <v>1220</v>
      </c>
      <c r="K59" s="24">
        <v>1135</v>
      </c>
      <c r="L59" s="24">
        <v>1100</v>
      </c>
      <c r="M59" s="24">
        <v>1124</v>
      </c>
      <c r="N59" s="24">
        <v>1111</v>
      </c>
      <c r="O59" s="24">
        <v>1057</v>
      </c>
      <c r="P59" s="26">
        <v>1037</v>
      </c>
      <c r="Q59" s="26">
        <f t="shared" si="1"/>
        <v>1141.4166666666667</v>
      </c>
      <c r="R59" s="27">
        <f t="shared" si="2"/>
        <v>1124.4166666666667</v>
      </c>
    </row>
    <row r="60" spans="1:18" s="7" customFormat="1" x14ac:dyDescent="0.2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</row>
    <row r="61" spans="1:18" x14ac:dyDescent="0.2">
      <c r="A61" s="45" t="s">
        <v>58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</row>
    <row r="62" spans="1:18" x14ac:dyDescent="0.2">
      <c r="A62" s="45" t="str">
        <f>TFam!A62</f>
        <v>Fiscal year average is based on data Oct. 2024 through Sep. 2025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</row>
    <row r="63" spans="1:18" x14ac:dyDescent="0.2">
      <c r="A63" s="45" t="str">
        <f>TFam!A63</f>
        <v>Calendar year average is based on data Jan. 2025 through Dec. 2025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</row>
  </sheetData>
  <pageMargins left="0.7" right="0.7" top="0.75" bottom="0.75" header="0.3" footer="0.3"/>
  <pageSetup scale="6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79"/>
  <sheetViews>
    <sheetView workbookViewId="0"/>
  </sheetViews>
  <sheetFormatPr defaultColWidth="9.28515625" defaultRowHeight="11.25" x14ac:dyDescent="0.2"/>
  <cols>
    <col min="1" max="1" width="14.28515625" style="40" bestFit="1" customWidth="1"/>
    <col min="2" max="8" width="11.28515625" style="39" customWidth="1"/>
    <col min="9" max="16384" width="9.28515625" style="39"/>
  </cols>
  <sheetData>
    <row r="1" spans="1:8" s="44" customFormat="1" ht="15.75" x14ac:dyDescent="0.25">
      <c r="A1" s="82" t="s">
        <v>88</v>
      </c>
      <c r="B1" s="82"/>
      <c r="C1" s="82"/>
      <c r="D1" s="82"/>
      <c r="E1" s="82"/>
      <c r="F1" s="82"/>
      <c r="G1" s="82"/>
      <c r="H1" s="82"/>
    </row>
    <row r="2" spans="1:8" s="44" customFormat="1" ht="12.75" x14ac:dyDescent="0.2">
      <c r="A2" s="83" t="str">
        <f>'Oct24'!$A$2</f>
        <v>Temporary Assistance for Needy Families (TANF)</v>
      </c>
      <c r="B2" s="83"/>
      <c r="C2" s="83"/>
      <c r="D2" s="83"/>
      <c r="E2" s="83"/>
      <c r="F2" s="83"/>
      <c r="G2" s="83"/>
      <c r="H2" s="83"/>
    </row>
    <row r="3" spans="1:8" s="32" customFormat="1" ht="33.75" x14ac:dyDescent="0.2">
      <c r="A3" s="31" t="s">
        <v>1</v>
      </c>
      <c r="B3" s="31" t="s">
        <v>66</v>
      </c>
      <c r="C3" s="31" t="s">
        <v>67</v>
      </c>
      <c r="D3" s="31" t="s">
        <v>68</v>
      </c>
      <c r="E3" s="31" t="s">
        <v>69</v>
      </c>
      <c r="F3" s="31" t="s">
        <v>70</v>
      </c>
      <c r="G3" s="31" t="s">
        <v>71</v>
      </c>
      <c r="H3" s="31" t="s">
        <v>72</v>
      </c>
    </row>
    <row r="4" spans="1:8" s="34" customFormat="1" ht="10.5" x14ac:dyDescent="0.15">
      <c r="A4" s="8" t="s">
        <v>2</v>
      </c>
      <c r="B4" s="33">
        <f>TFam!G5</f>
        <v>848807</v>
      </c>
      <c r="C4" s="33">
        <f>'Two-par'!G5</f>
        <v>58027</v>
      </c>
      <c r="D4" s="33">
        <f>'One-par'!G5</f>
        <v>455134</v>
      </c>
      <c r="E4" s="33">
        <f>'Zero-par'!G5</f>
        <v>335646</v>
      </c>
      <c r="F4" s="33">
        <f>TRec!G5</f>
        <v>2092069</v>
      </c>
      <c r="G4" s="33">
        <f>Adults!G5</f>
        <v>577110</v>
      </c>
      <c r="H4" s="33">
        <f>Children!G5</f>
        <v>1514959</v>
      </c>
    </row>
    <row r="5" spans="1:8" s="36" customFormat="1" x14ac:dyDescent="0.2">
      <c r="A5" s="42" t="s">
        <v>3</v>
      </c>
      <c r="B5" s="35">
        <f>TFam!G6</f>
        <v>5918</v>
      </c>
      <c r="C5" s="35">
        <f>'Two-par'!G6</f>
        <v>65</v>
      </c>
      <c r="D5" s="35">
        <f>'One-par'!G6</f>
        <v>2639</v>
      </c>
      <c r="E5" s="35">
        <f>'Zero-par'!G6</f>
        <v>3214</v>
      </c>
      <c r="F5" s="35">
        <f>TRec!G6</f>
        <v>14292</v>
      </c>
      <c r="G5" s="35">
        <f>Adults!G6</f>
        <v>2844</v>
      </c>
      <c r="H5" s="35">
        <f>Children!G6</f>
        <v>11448</v>
      </c>
    </row>
    <row r="6" spans="1:8" s="36" customFormat="1" x14ac:dyDescent="0.2">
      <c r="A6" s="42" t="s">
        <v>4</v>
      </c>
      <c r="B6" s="37">
        <f>TFam!G7</f>
        <v>1038</v>
      </c>
      <c r="C6" s="37">
        <f>'Two-par'!G7</f>
        <v>158</v>
      </c>
      <c r="D6" s="37">
        <f>'One-par'!G7</f>
        <v>567</v>
      </c>
      <c r="E6" s="37">
        <f>'Zero-par'!G7</f>
        <v>313</v>
      </c>
      <c r="F6" s="37">
        <f>TRec!G7</f>
        <v>2920</v>
      </c>
      <c r="G6" s="37">
        <f>Adults!G7</f>
        <v>914</v>
      </c>
      <c r="H6" s="37">
        <f>Children!G7</f>
        <v>2006</v>
      </c>
    </row>
    <row r="7" spans="1:8" s="36" customFormat="1" x14ac:dyDescent="0.2">
      <c r="A7" s="42" t="s">
        <v>5</v>
      </c>
      <c r="B7" s="37">
        <f>TFam!G8</f>
        <v>3958</v>
      </c>
      <c r="C7" s="37">
        <f>'Two-par'!G8</f>
        <v>181</v>
      </c>
      <c r="D7" s="37">
        <f>'One-par'!G8</f>
        <v>1090</v>
      </c>
      <c r="E7" s="37">
        <f>'Zero-par'!G8</f>
        <v>2687</v>
      </c>
      <c r="F7" s="37">
        <f>TRec!G8</f>
        <v>8176</v>
      </c>
      <c r="G7" s="37">
        <f>Adults!G8</f>
        <v>1468</v>
      </c>
      <c r="H7" s="37">
        <f>Children!G8</f>
        <v>6708</v>
      </c>
    </row>
    <row r="8" spans="1:8" s="36" customFormat="1" x14ac:dyDescent="0.2">
      <c r="A8" s="42" t="s">
        <v>6</v>
      </c>
      <c r="B8" s="37">
        <f>TFam!G9</f>
        <v>687</v>
      </c>
      <c r="C8" s="37">
        <f>'Two-par'!G9</f>
        <v>17</v>
      </c>
      <c r="D8" s="37">
        <f>'One-par'!G9</f>
        <v>394</v>
      </c>
      <c r="E8" s="37">
        <f>'Zero-par'!G9</f>
        <v>276</v>
      </c>
      <c r="F8" s="37">
        <f>TRec!G9</f>
        <v>1648</v>
      </c>
      <c r="G8" s="37">
        <f>Adults!G9</f>
        <v>430</v>
      </c>
      <c r="H8" s="37">
        <f>Children!G9</f>
        <v>1218</v>
      </c>
    </row>
    <row r="9" spans="1:8" s="36" customFormat="1" x14ac:dyDescent="0.2">
      <c r="A9" s="42" t="s">
        <v>7</v>
      </c>
      <c r="B9" s="35">
        <f>TFam!G10</f>
        <v>305675</v>
      </c>
      <c r="C9" s="35">
        <f>'Two-par'!G10</f>
        <v>40535</v>
      </c>
      <c r="D9" s="35">
        <f>'One-par'!G10</f>
        <v>162900</v>
      </c>
      <c r="E9" s="35">
        <f>'Zero-par'!G10</f>
        <v>102240</v>
      </c>
      <c r="F9" s="35">
        <f>TRec!G10</f>
        <v>805325</v>
      </c>
      <c r="G9" s="35">
        <f>Adults!G10</f>
        <v>220854</v>
      </c>
      <c r="H9" s="35">
        <f>Children!G10</f>
        <v>584471</v>
      </c>
    </row>
    <row r="10" spans="1:8" s="36" customFormat="1" x14ac:dyDescent="0.2">
      <c r="A10" s="42" t="s">
        <v>8</v>
      </c>
      <c r="B10" s="37">
        <f>TFam!G11</f>
        <v>13514</v>
      </c>
      <c r="C10" s="37">
        <f>'Two-par'!G11</f>
        <v>0</v>
      </c>
      <c r="D10" s="37">
        <f>'One-par'!G11</f>
        <v>9306</v>
      </c>
      <c r="E10" s="37">
        <f>'Zero-par'!G11</f>
        <v>4208</v>
      </c>
      <c r="F10" s="37">
        <f>TRec!G11</f>
        <v>33236</v>
      </c>
      <c r="G10" s="37">
        <f>Adults!G11</f>
        <v>9721</v>
      </c>
      <c r="H10" s="37">
        <f>Children!G11</f>
        <v>23515</v>
      </c>
    </row>
    <row r="11" spans="1:8" s="36" customFormat="1" x14ac:dyDescent="0.2">
      <c r="A11" s="42" t="s">
        <v>9</v>
      </c>
      <c r="B11" s="35">
        <f>TFam!G12</f>
        <v>5172</v>
      </c>
      <c r="C11" s="35">
        <f>'Two-par'!G12</f>
        <v>0</v>
      </c>
      <c r="D11" s="35">
        <f>'One-par'!G12</f>
        <v>2367</v>
      </c>
      <c r="E11" s="35">
        <f>'Zero-par'!G12</f>
        <v>2805</v>
      </c>
      <c r="F11" s="35">
        <f>TRec!G12</f>
        <v>12756</v>
      </c>
      <c r="G11" s="35">
        <f>Adults!G12</f>
        <v>3812</v>
      </c>
      <c r="H11" s="35">
        <f>Children!G12</f>
        <v>8944</v>
      </c>
    </row>
    <row r="12" spans="1:8" s="36" customFormat="1" x14ac:dyDescent="0.2">
      <c r="A12" s="42" t="s">
        <v>10</v>
      </c>
      <c r="B12" s="35">
        <f>TFam!G13</f>
        <v>2347</v>
      </c>
      <c r="C12" s="35">
        <f>'Two-par'!G13</f>
        <v>5</v>
      </c>
      <c r="D12" s="35">
        <f>'One-par'!G13</f>
        <v>522</v>
      </c>
      <c r="E12" s="35">
        <f>'Zero-par'!G13</f>
        <v>1820</v>
      </c>
      <c r="F12" s="35">
        <f>TRec!G13</f>
        <v>6514</v>
      </c>
      <c r="G12" s="35">
        <f>Adults!G13</f>
        <v>2686</v>
      </c>
      <c r="H12" s="35">
        <f>Children!G13</f>
        <v>3828</v>
      </c>
    </row>
    <row r="13" spans="1:8" s="36" customFormat="1" x14ac:dyDescent="0.2">
      <c r="A13" s="42" t="s">
        <v>11</v>
      </c>
      <c r="B13" s="35">
        <f>TFam!G14</f>
        <v>5947</v>
      </c>
      <c r="C13" s="35">
        <f>'Two-par'!G14</f>
        <v>0</v>
      </c>
      <c r="D13" s="35">
        <f>'One-par'!G14</f>
        <v>4408</v>
      </c>
      <c r="E13" s="35">
        <f>'Zero-par'!G14</f>
        <v>1539</v>
      </c>
      <c r="F13" s="35">
        <f>TRec!G14</f>
        <v>19181</v>
      </c>
      <c r="G13" s="35">
        <f>Adults!G14</f>
        <v>4408</v>
      </c>
      <c r="H13" s="35">
        <f>Children!G14</f>
        <v>14773</v>
      </c>
    </row>
    <row r="14" spans="1:8" s="36" customFormat="1" x14ac:dyDescent="0.2">
      <c r="A14" s="42" t="s">
        <v>12</v>
      </c>
      <c r="B14" s="35">
        <f>TFam!G15</f>
        <v>22833</v>
      </c>
      <c r="C14" s="35">
        <f>'Two-par'!G15</f>
        <v>1854</v>
      </c>
      <c r="D14" s="35">
        <f>'One-par'!G15</f>
        <v>6688</v>
      </c>
      <c r="E14" s="35">
        <f>'Zero-par'!G15</f>
        <v>14291</v>
      </c>
      <c r="F14" s="35">
        <f>TRec!G15</f>
        <v>42555</v>
      </c>
      <c r="G14" s="35">
        <f>Adults!G15</f>
        <v>12092</v>
      </c>
      <c r="H14" s="35">
        <f>Children!G15</f>
        <v>30463</v>
      </c>
    </row>
    <row r="15" spans="1:8" s="36" customFormat="1" x14ac:dyDescent="0.2">
      <c r="A15" s="42" t="s">
        <v>13</v>
      </c>
      <c r="B15" s="35">
        <f>TFam!G16</f>
        <v>3715</v>
      </c>
      <c r="C15" s="35">
        <f>'Two-par'!G16</f>
        <v>0</v>
      </c>
      <c r="D15" s="35">
        <f>'One-par'!G16</f>
        <v>166</v>
      </c>
      <c r="E15" s="35">
        <f>'Zero-par'!G16</f>
        <v>3549</v>
      </c>
      <c r="F15" s="35">
        <f>TRec!G16</f>
        <v>6437</v>
      </c>
      <c r="G15" s="35">
        <f>Adults!G16</f>
        <v>168</v>
      </c>
      <c r="H15" s="35">
        <f>Children!G16</f>
        <v>6269</v>
      </c>
    </row>
    <row r="16" spans="1:8" s="36" customFormat="1" x14ac:dyDescent="0.2">
      <c r="A16" s="42" t="s">
        <v>14</v>
      </c>
      <c r="B16" s="37">
        <f>TFam!G17</f>
        <v>207</v>
      </c>
      <c r="C16" s="37">
        <f>'Two-par'!G17</f>
        <v>13</v>
      </c>
      <c r="D16" s="37">
        <f>'One-par'!G17</f>
        <v>62</v>
      </c>
      <c r="E16" s="37">
        <f>'Zero-par'!G17</f>
        <v>132</v>
      </c>
      <c r="F16" s="37">
        <f>TRec!G17</f>
        <v>510</v>
      </c>
      <c r="G16" s="37">
        <f>Adults!G17</f>
        <v>89</v>
      </c>
      <c r="H16" s="37">
        <f>Children!G17</f>
        <v>421</v>
      </c>
    </row>
    <row r="17" spans="1:8" s="36" customFormat="1" x14ac:dyDescent="0.2">
      <c r="A17" s="42" t="s">
        <v>15</v>
      </c>
      <c r="B17" s="35">
        <f>TFam!G18</f>
        <v>1772</v>
      </c>
      <c r="C17" s="35">
        <f>'Two-par'!G18</f>
        <v>234</v>
      </c>
      <c r="D17" s="35">
        <f>'One-par'!G18</f>
        <v>1011</v>
      </c>
      <c r="E17" s="35">
        <f>'Zero-par'!G18</f>
        <v>527</v>
      </c>
      <c r="F17" s="35">
        <f>TRec!G18</f>
        <v>4572</v>
      </c>
      <c r="G17" s="35">
        <f>Adults!G18</f>
        <v>1244</v>
      </c>
      <c r="H17" s="35">
        <f>Children!G18</f>
        <v>3328</v>
      </c>
    </row>
    <row r="18" spans="1:8" s="36" customFormat="1" x14ac:dyDescent="0.2">
      <c r="A18" s="42" t="s">
        <v>16</v>
      </c>
      <c r="B18" s="37">
        <f>TFam!G19</f>
        <v>1455</v>
      </c>
      <c r="C18" s="37">
        <f>'Two-par'!G19</f>
        <v>0</v>
      </c>
      <c r="D18" s="37">
        <f>'One-par'!G19</f>
        <v>46</v>
      </c>
      <c r="E18" s="37">
        <f>'Zero-par'!G19</f>
        <v>1409</v>
      </c>
      <c r="F18" s="37">
        <f>TRec!G19</f>
        <v>2030</v>
      </c>
      <c r="G18" s="37">
        <f>Adults!G19</f>
        <v>45</v>
      </c>
      <c r="H18" s="37">
        <f>Children!G19</f>
        <v>1985</v>
      </c>
    </row>
    <row r="19" spans="1:8" s="36" customFormat="1" x14ac:dyDescent="0.2">
      <c r="A19" s="42" t="s">
        <v>17</v>
      </c>
      <c r="B19" s="35">
        <f>TFam!G20</f>
        <v>9939</v>
      </c>
      <c r="C19" s="35">
        <f>'Two-par'!G20</f>
        <v>0</v>
      </c>
      <c r="D19" s="35">
        <f>'One-par'!G20</f>
        <v>2258</v>
      </c>
      <c r="E19" s="35">
        <f>'Zero-par'!G20</f>
        <v>7681</v>
      </c>
      <c r="F19" s="35">
        <f>TRec!G20</f>
        <v>20183</v>
      </c>
      <c r="G19" s="35">
        <f>Adults!G20</f>
        <v>2709</v>
      </c>
      <c r="H19" s="35">
        <f>Children!G20</f>
        <v>17474</v>
      </c>
    </row>
    <row r="20" spans="1:8" s="36" customFormat="1" x14ac:dyDescent="0.2">
      <c r="A20" s="42" t="s">
        <v>18</v>
      </c>
      <c r="B20" s="35">
        <f>TFam!G21</f>
        <v>5348</v>
      </c>
      <c r="C20" s="35">
        <f>'Two-par'!G21</f>
        <v>398</v>
      </c>
      <c r="D20" s="35">
        <f>'One-par'!G21</f>
        <v>2536</v>
      </c>
      <c r="E20" s="35">
        <f>'Zero-par'!G21</f>
        <v>2414</v>
      </c>
      <c r="F20" s="35">
        <f>TRec!G21</f>
        <v>12929</v>
      </c>
      <c r="G20" s="35">
        <f>Adults!G21</f>
        <v>2915</v>
      </c>
      <c r="H20" s="35">
        <f>Children!G21</f>
        <v>10014</v>
      </c>
    </row>
    <row r="21" spans="1:8" s="36" customFormat="1" x14ac:dyDescent="0.2">
      <c r="A21" s="42" t="s">
        <v>19</v>
      </c>
      <c r="B21" s="35">
        <f>TFam!G22</f>
        <v>4078</v>
      </c>
      <c r="C21" s="35">
        <f>'Two-par'!G22</f>
        <v>342</v>
      </c>
      <c r="D21" s="35">
        <f>'One-par'!G22</f>
        <v>2100</v>
      </c>
      <c r="E21" s="35">
        <f>'Zero-par'!G22</f>
        <v>1636</v>
      </c>
      <c r="F21" s="35">
        <f>TRec!G22</f>
        <v>10685</v>
      </c>
      <c r="G21" s="35">
        <f>Adults!G22</f>
        <v>2798</v>
      </c>
      <c r="H21" s="35">
        <f>Children!G22</f>
        <v>7887</v>
      </c>
    </row>
    <row r="22" spans="1:8" s="36" customFormat="1" x14ac:dyDescent="0.2">
      <c r="A22" s="42" t="s">
        <v>20</v>
      </c>
      <c r="B22" s="37">
        <f>TFam!G23</f>
        <v>2781</v>
      </c>
      <c r="C22" s="37">
        <f>'Two-par'!G23</f>
        <v>264</v>
      </c>
      <c r="D22" s="37">
        <f>'One-par'!G23</f>
        <v>1375</v>
      </c>
      <c r="E22" s="37">
        <f>'Zero-par'!G23</f>
        <v>1142</v>
      </c>
      <c r="F22" s="37">
        <f>TRec!G23</f>
        <v>2781</v>
      </c>
      <c r="G22" s="37">
        <f>Adults!G23</f>
        <v>1497</v>
      </c>
      <c r="H22" s="37">
        <f>Children!G23</f>
        <v>1284</v>
      </c>
    </row>
    <row r="23" spans="1:8" s="36" customFormat="1" x14ac:dyDescent="0.2">
      <c r="A23" s="42" t="s">
        <v>21</v>
      </c>
      <c r="B23" s="37">
        <f>TFam!G24</f>
        <v>15893</v>
      </c>
      <c r="C23" s="37">
        <f>'Two-par'!G24</f>
        <v>1054</v>
      </c>
      <c r="D23" s="37">
        <f>'One-par'!G24</f>
        <v>6666</v>
      </c>
      <c r="E23" s="37">
        <f>'Zero-par'!G24</f>
        <v>8173</v>
      </c>
      <c r="F23" s="37">
        <f>TRec!G24</f>
        <v>38949</v>
      </c>
      <c r="G23" s="37">
        <f>Adults!G24</f>
        <v>8996</v>
      </c>
      <c r="H23" s="37">
        <f>Children!G24</f>
        <v>29953</v>
      </c>
    </row>
    <row r="24" spans="1:8" s="36" customFormat="1" x14ac:dyDescent="0.2">
      <c r="A24" s="42" t="s">
        <v>22</v>
      </c>
      <c r="B24" s="37">
        <f>TFam!G25</f>
        <v>4595</v>
      </c>
      <c r="C24" s="37">
        <f>'Two-par'!G25</f>
        <v>0</v>
      </c>
      <c r="D24" s="37">
        <f>'One-par'!G25</f>
        <v>2596</v>
      </c>
      <c r="E24" s="37">
        <f>'Zero-par'!G25</f>
        <v>1999</v>
      </c>
      <c r="F24" s="37">
        <f>TRec!G25</f>
        <v>11882</v>
      </c>
      <c r="G24" s="37">
        <f>Adults!G25</f>
        <v>2249</v>
      </c>
      <c r="H24" s="37">
        <f>Children!G25</f>
        <v>9633</v>
      </c>
    </row>
    <row r="25" spans="1:8" s="36" customFormat="1" x14ac:dyDescent="0.2">
      <c r="A25" s="42" t="s">
        <v>23</v>
      </c>
      <c r="B25" s="35">
        <f>TFam!G26</f>
        <v>4024</v>
      </c>
      <c r="C25" s="35">
        <f>'Two-par'!G26</f>
        <v>628</v>
      </c>
      <c r="D25" s="35">
        <f>'One-par'!G26</f>
        <v>2415</v>
      </c>
      <c r="E25" s="35">
        <f>'Zero-par'!G26</f>
        <v>981</v>
      </c>
      <c r="F25" s="35">
        <f>TRec!G26</f>
        <v>10880</v>
      </c>
      <c r="G25" s="35">
        <f>Adults!G26</f>
        <v>3539</v>
      </c>
      <c r="H25" s="35">
        <f>Children!G26</f>
        <v>7341</v>
      </c>
    </row>
    <row r="26" spans="1:8" s="36" customFormat="1" x14ac:dyDescent="0.2">
      <c r="A26" s="42" t="s">
        <v>24</v>
      </c>
      <c r="B26" s="35">
        <f>TFam!G27</f>
        <v>13975</v>
      </c>
      <c r="C26" s="35">
        <f>'Two-par'!G27</f>
        <v>0</v>
      </c>
      <c r="D26" s="35">
        <f>'One-par'!G27</f>
        <v>10125</v>
      </c>
      <c r="E26" s="35">
        <f>'Zero-par'!G27</f>
        <v>3850</v>
      </c>
      <c r="F26" s="35">
        <f>TRec!G27</f>
        <v>38262</v>
      </c>
      <c r="G26" s="35">
        <f>Adults!G27</f>
        <v>11048</v>
      </c>
      <c r="H26" s="35">
        <f>Children!G27</f>
        <v>27214</v>
      </c>
    </row>
    <row r="27" spans="1:8" s="36" customFormat="1" x14ac:dyDescent="0.2">
      <c r="A27" s="42" t="s">
        <v>25</v>
      </c>
      <c r="B27" s="35">
        <f>TFam!G28</f>
        <v>37016</v>
      </c>
      <c r="C27" s="35">
        <f>'Two-par'!G28</f>
        <v>2428</v>
      </c>
      <c r="D27" s="35">
        <f>'One-par'!G28</f>
        <v>22798</v>
      </c>
      <c r="E27" s="35">
        <f>'Zero-par'!G28</f>
        <v>11790</v>
      </c>
      <c r="F27" s="35">
        <f>TRec!G28</f>
        <v>86922</v>
      </c>
      <c r="G27" s="35">
        <f>Adults!G28</f>
        <v>26668</v>
      </c>
      <c r="H27" s="35">
        <f>Children!G28</f>
        <v>60254</v>
      </c>
    </row>
    <row r="28" spans="1:8" s="36" customFormat="1" x14ac:dyDescent="0.2">
      <c r="A28" s="42" t="s">
        <v>26</v>
      </c>
      <c r="B28" s="37">
        <f>TFam!G29</f>
        <v>8528</v>
      </c>
      <c r="C28" s="37">
        <f>'Two-par'!G29</f>
        <v>0</v>
      </c>
      <c r="D28" s="37">
        <f>'One-par'!G29</f>
        <v>4687</v>
      </c>
      <c r="E28" s="37">
        <f>'Zero-par'!G29</f>
        <v>3841</v>
      </c>
      <c r="F28" s="37">
        <f>TRec!G29</f>
        <v>22628</v>
      </c>
      <c r="G28" s="37">
        <f>Adults!G29</f>
        <v>5265</v>
      </c>
      <c r="H28" s="37">
        <f>Children!G29</f>
        <v>17363</v>
      </c>
    </row>
    <row r="29" spans="1:8" s="36" customFormat="1" x14ac:dyDescent="0.2">
      <c r="A29" s="42" t="s">
        <v>27</v>
      </c>
      <c r="B29" s="35">
        <f>TFam!G30</f>
        <v>12903</v>
      </c>
      <c r="C29" s="35">
        <f>'Two-par'!G30</f>
        <v>0</v>
      </c>
      <c r="D29" s="35">
        <f>'One-par'!G30</f>
        <v>7511</v>
      </c>
      <c r="E29" s="35">
        <f>'Zero-par'!G30</f>
        <v>5392</v>
      </c>
      <c r="F29" s="35">
        <f>TRec!G30</f>
        <v>29916</v>
      </c>
      <c r="G29" s="35">
        <f>Adults!G30</f>
        <v>7472</v>
      </c>
      <c r="H29" s="35">
        <f>Children!G30</f>
        <v>22444</v>
      </c>
    </row>
    <row r="30" spans="1:8" s="36" customFormat="1" x14ac:dyDescent="0.2">
      <c r="A30" s="42" t="s">
        <v>28</v>
      </c>
      <c r="B30" s="37">
        <f>TFam!G31</f>
        <v>1278</v>
      </c>
      <c r="C30" s="37">
        <f>'Two-par'!G31</f>
        <v>0</v>
      </c>
      <c r="D30" s="37">
        <f>'One-par'!G31</f>
        <v>230</v>
      </c>
      <c r="E30" s="37">
        <f>'Zero-par'!G31</f>
        <v>1048</v>
      </c>
      <c r="F30" s="37">
        <f>TRec!G31</f>
        <v>2233</v>
      </c>
      <c r="G30" s="37">
        <f>Adults!G31</f>
        <v>235</v>
      </c>
      <c r="H30" s="37">
        <f>Children!G31</f>
        <v>1998</v>
      </c>
    </row>
    <row r="31" spans="1:8" s="36" customFormat="1" x14ac:dyDescent="0.2">
      <c r="A31" s="42" t="s">
        <v>29</v>
      </c>
      <c r="B31" s="35">
        <f>TFam!G32</f>
        <v>4670</v>
      </c>
      <c r="C31" s="35">
        <f>'Two-par'!G32</f>
        <v>0</v>
      </c>
      <c r="D31" s="35">
        <f>'One-par'!G32</f>
        <v>2745</v>
      </c>
      <c r="E31" s="35">
        <f>'Zero-par'!G32</f>
        <v>1925</v>
      </c>
      <c r="F31" s="35">
        <f>TRec!G32</f>
        <v>10925</v>
      </c>
      <c r="G31" s="35">
        <f>Adults!G32</f>
        <v>2435</v>
      </c>
      <c r="H31" s="35">
        <f>Children!G32</f>
        <v>8490</v>
      </c>
    </row>
    <row r="32" spans="1:8" s="36" customFormat="1" x14ac:dyDescent="0.2">
      <c r="A32" s="42" t="s">
        <v>30</v>
      </c>
      <c r="B32" s="37">
        <f>TFam!G33</f>
        <v>1564</v>
      </c>
      <c r="C32" s="37">
        <f>'Two-par'!G33</f>
        <v>88</v>
      </c>
      <c r="D32" s="37">
        <f>'One-par'!G33</f>
        <v>669</v>
      </c>
      <c r="E32" s="37">
        <f>'Zero-par'!G33</f>
        <v>807</v>
      </c>
      <c r="F32" s="37">
        <f>TRec!G33</f>
        <v>3579</v>
      </c>
      <c r="G32" s="37">
        <f>Adults!G33</f>
        <v>703</v>
      </c>
      <c r="H32" s="37">
        <f>Children!G33</f>
        <v>2876</v>
      </c>
    </row>
    <row r="33" spans="1:8" s="36" customFormat="1" x14ac:dyDescent="0.2">
      <c r="A33" s="42" t="s">
        <v>31</v>
      </c>
      <c r="B33" s="35">
        <f>TFam!G34</f>
        <v>2287</v>
      </c>
      <c r="C33" s="35">
        <f>'Two-par'!G34</f>
        <v>0</v>
      </c>
      <c r="D33" s="35">
        <f>'One-par'!G34</f>
        <v>641</v>
      </c>
      <c r="E33" s="35">
        <f>'Zero-par'!G34</f>
        <v>1646</v>
      </c>
      <c r="F33" s="35">
        <f>TRec!G34</f>
        <v>5102</v>
      </c>
      <c r="G33" s="35">
        <f>Adults!G34</f>
        <v>618</v>
      </c>
      <c r="H33" s="35">
        <f>Children!G34</f>
        <v>4484</v>
      </c>
    </row>
    <row r="34" spans="1:8" s="36" customFormat="1" x14ac:dyDescent="0.2">
      <c r="A34" s="42" t="s">
        <v>32</v>
      </c>
      <c r="B34" s="35">
        <f>TFam!G35</f>
        <v>5063</v>
      </c>
      <c r="C34" s="35">
        <f>'Two-par'!G35</f>
        <v>493</v>
      </c>
      <c r="D34" s="35">
        <f>'One-par'!G35</f>
        <v>2207</v>
      </c>
      <c r="E34" s="35">
        <f>'Zero-par'!G35</f>
        <v>2363</v>
      </c>
      <c r="F34" s="35">
        <f>TRec!G35</f>
        <v>12897</v>
      </c>
      <c r="G34" s="35">
        <f>Adults!G35</f>
        <v>3381</v>
      </c>
      <c r="H34" s="35">
        <f>Children!G35</f>
        <v>9516</v>
      </c>
    </row>
    <row r="35" spans="1:8" s="36" customFormat="1" x14ac:dyDescent="0.2">
      <c r="A35" s="42" t="s">
        <v>33</v>
      </c>
      <c r="B35" s="35">
        <f>TFam!G36</f>
        <v>2408</v>
      </c>
      <c r="C35" s="35">
        <f>'Two-par'!G36</f>
        <v>1</v>
      </c>
      <c r="D35" s="35">
        <f>'One-par'!G36</f>
        <v>1066</v>
      </c>
      <c r="E35" s="35">
        <f>'Zero-par'!G36</f>
        <v>1341</v>
      </c>
      <c r="F35" s="35">
        <f>TRec!G36</f>
        <v>5055</v>
      </c>
      <c r="G35" s="35">
        <f>Adults!G36</f>
        <v>1116</v>
      </c>
      <c r="H35" s="35">
        <f>Children!G36</f>
        <v>3939</v>
      </c>
    </row>
    <row r="36" spans="1:8" s="36" customFormat="1" x14ac:dyDescent="0.2">
      <c r="A36" s="42" t="s">
        <v>34</v>
      </c>
      <c r="B36" s="35">
        <f>TFam!G37</f>
        <v>8942</v>
      </c>
      <c r="C36" s="35">
        <f>'Two-par'!G37</f>
        <v>72</v>
      </c>
      <c r="D36" s="35">
        <f>'One-par'!G37</f>
        <v>6811</v>
      </c>
      <c r="E36" s="35">
        <f>'Zero-par'!G37</f>
        <v>2059</v>
      </c>
      <c r="F36" s="35">
        <f>TRec!G37</f>
        <v>21337</v>
      </c>
      <c r="G36" s="35">
        <f>Adults!G37</f>
        <v>5786</v>
      </c>
      <c r="H36" s="35">
        <f>Children!G37</f>
        <v>15551</v>
      </c>
    </row>
    <row r="37" spans="1:8" s="36" customFormat="1" x14ac:dyDescent="0.2">
      <c r="A37" s="42" t="s">
        <v>35</v>
      </c>
      <c r="B37" s="37">
        <f>TFam!G38</f>
        <v>6803</v>
      </c>
      <c r="C37" s="37">
        <f>'Two-par'!G38</f>
        <v>419</v>
      </c>
      <c r="D37" s="37">
        <f>'One-par'!G38</f>
        <v>3303</v>
      </c>
      <c r="E37" s="37">
        <f>'Zero-par'!G38</f>
        <v>3081</v>
      </c>
      <c r="F37" s="37">
        <f>TRec!G38</f>
        <v>16438</v>
      </c>
      <c r="G37" s="37">
        <f>Adults!G38</f>
        <v>4141</v>
      </c>
      <c r="H37" s="37">
        <f>Children!G38</f>
        <v>12297</v>
      </c>
    </row>
    <row r="38" spans="1:8" s="36" customFormat="1" x14ac:dyDescent="0.2">
      <c r="A38" s="42" t="s">
        <v>36</v>
      </c>
      <c r="B38" s="35">
        <f>TFam!G39</f>
        <v>134430</v>
      </c>
      <c r="C38" s="35">
        <f>'Two-par'!G39</f>
        <v>2053</v>
      </c>
      <c r="D38" s="35">
        <f>'One-par'!G39</f>
        <v>101291</v>
      </c>
      <c r="E38" s="35">
        <f>'Zero-par'!G39</f>
        <v>31086</v>
      </c>
      <c r="F38" s="35">
        <f>TRec!G39</f>
        <v>351531</v>
      </c>
      <c r="G38" s="35">
        <f>Adults!G39</f>
        <v>126685</v>
      </c>
      <c r="H38" s="35">
        <f>Children!G39</f>
        <v>224846</v>
      </c>
    </row>
    <row r="39" spans="1:8" s="36" customFormat="1" x14ac:dyDescent="0.2">
      <c r="A39" s="42" t="s">
        <v>37</v>
      </c>
      <c r="B39" s="37">
        <f>TFam!G40</f>
        <v>6133</v>
      </c>
      <c r="C39" s="37">
        <f>'Two-par'!G40</f>
        <v>56</v>
      </c>
      <c r="D39" s="37">
        <f>'One-par'!G40</f>
        <v>793</v>
      </c>
      <c r="E39" s="37">
        <f>'Zero-par'!G40</f>
        <v>5284</v>
      </c>
      <c r="F39" s="37">
        <f>TRec!G40</f>
        <v>10221</v>
      </c>
      <c r="G39" s="37">
        <f>Adults!G40</f>
        <v>946</v>
      </c>
      <c r="H39" s="37">
        <f>Children!G40</f>
        <v>9275</v>
      </c>
    </row>
    <row r="40" spans="1:8" s="36" customFormat="1" x14ac:dyDescent="0.2">
      <c r="A40" s="42" t="s">
        <v>38</v>
      </c>
      <c r="B40" s="37">
        <f>TFam!G41</f>
        <v>723</v>
      </c>
      <c r="C40" s="37">
        <f>'Two-par'!G41</f>
        <v>0</v>
      </c>
      <c r="D40" s="37">
        <f>'One-par'!G41</f>
        <v>432</v>
      </c>
      <c r="E40" s="37">
        <f>'Zero-par'!G41</f>
        <v>291</v>
      </c>
      <c r="F40" s="37">
        <f>TRec!G41</f>
        <v>1818</v>
      </c>
      <c r="G40" s="37">
        <f>Adults!G41</f>
        <v>367</v>
      </c>
      <c r="H40" s="37">
        <f>Children!G41</f>
        <v>1451</v>
      </c>
    </row>
    <row r="41" spans="1:8" s="36" customFormat="1" x14ac:dyDescent="0.2">
      <c r="A41" s="42" t="s">
        <v>39</v>
      </c>
      <c r="B41" s="37">
        <f>TFam!G42</f>
        <v>36534</v>
      </c>
      <c r="C41" s="37">
        <f>'Two-par'!G42</f>
        <v>596</v>
      </c>
      <c r="D41" s="37">
        <f>'One-par'!G42</f>
        <v>5066</v>
      </c>
      <c r="E41" s="37">
        <f>'Zero-par'!G42</f>
        <v>30872</v>
      </c>
      <c r="F41" s="37">
        <f>TRec!G42</f>
        <v>65518</v>
      </c>
      <c r="G41" s="37">
        <f>Adults!G42</f>
        <v>6662</v>
      </c>
      <c r="H41" s="37">
        <f>Children!G42</f>
        <v>58856</v>
      </c>
    </row>
    <row r="42" spans="1:8" s="36" customFormat="1" x14ac:dyDescent="0.2">
      <c r="A42" s="42" t="s">
        <v>40</v>
      </c>
      <c r="B42" s="37">
        <f>TFam!G43</f>
        <v>3072</v>
      </c>
      <c r="C42" s="37">
        <f>'Two-par'!G43</f>
        <v>0</v>
      </c>
      <c r="D42" s="37">
        <f>'One-par'!G43</f>
        <v>989</v>
      </c>
      <c r="E42" s="37">
        <f>'Zero-par'!G43</f>
        <v>2083</v>
      </c>
      <c r="F42" s="37">
        <f>TRec!G43</f>
        <v>6795</v>
      </c>
      <c r="G42" s="37">
        <f>Adults!G43</f>
        <v>989</v>
      </c>
      <c r="H42" s="37">
        <f>Children!G43</f>
        <v>5806</v>
      </c>
    </row>
    <row r="43" spans="1:8" s="36" customFormat="1" x14ac:dyDescent="0.2">
      <c r="A43" s="42" t="s">
        <v>41</v>
      </c>
      <c r="B43" s="37">
        <f>TFam!G44</f>
        <v>18513</v>
      </c>
      <c r="C43" s="37">
        <f>'Two-par'!G44</f>
        <v>0</v>
      </c>
      <c r="D43" s="37">
        <f>'One-par'!G44</f>
        <v>12247</v>
      </c>
      <c r="E43" s="37">
        <f>'Zero-par'!G44</f>
        <v>6266</v>
      </c>
      <c r="F43" s="37">
        <f>TRec!G44</f>
        <v>42234</v>
      </c>
      <c r="G43" s="37">
        <f>Adults!G44</f>
        <v>12414</v>
      </c>
      <c r="H43" s="37">
        <f>Children!G44</f>
        <v>29820</v>
      </c>
    </row>
    <row r="44" spans="1:8" s="36" customFormat="1" x14ac:dyDescent="0.2">
      <c r="A44" s="42" t="s">
        <v>42</v>
      </c>
      <c r="B44" s="37">
        <f>TFam!G45</f>
        <v>19845</v>
      </c>
      <c r="C44" s="37">
        <f>'Two-par'!G45</f>
        <v>260</v>
      </c>
      <c r="D44" s="37">
        <f>'One-par'!G45</f>
        <v>11995</v>
      </c>
      <c r="E44" s="37">
        <f>'Zero-par'!G45</f>
        <v>7590</v>
      </c>
      <c r="F44" s="37">
        <f>TRec!G45</f>
        <v>48718</v>
      </c>
      <c r="G44" s="37">
        <f>Adults!G45</f>
        <v>11576</v>
      </c>
      <c r="H44" s="37">
        <f>Children!G45</f>
        <v>37142</v>
      </c>
    </row>
    <row r="45" spans="1:8" s="36" customFormat="1" x14ac:dyDescent="0.2">
      <c r="A45" s="42" t="s">
        <v>43</v>
      </c>
      <c r="B45" s="37">
        <f>TFam!G46</f>
        <v>2347</v>
      </c>
      <c r="C45" s="37">
        <f>'Two-par'!G46</f>
        <v>102</v>
      </c>
      <c r="D45" s="37">
        <f>'One-par'!G46</f>
        <v>2088</v>
      </c>
      <c r="E45" s="37">
        <f>'Zero-par'!G46</f>
        <v>157</v>
      </c>
      <c r="F45" s="37">
        <f>TRec!G46</f>
        <v>6544</v>
      </c>
      <c r="G45" s="37">
        <f>Adults!G46</f>
        <v>2433</v>
      </c>
      <c r="H45" s="37">
        <f>Children!G46</f>
        <v>4111</v>
      </c>
    </row>
    <row r="46" spans="1:8" s="36" customFormat="1" x14ac:dyDescent="0.2">
      <c r="A46" s="42" t="s">
        <v>44</v>
      </c>
      <c r="B46" s="35">
        <f>TFam!G47</f>
        <v>3822</v>
      </c>
      <c r="C46" s="35">
        <f>'Two-par'!G47</f>
        <v>266</v>
      </c>
      <c r="D46" s="35">
        <f>'One-par'!G47</f>
        <v>3008</v>
      </c>
      <c r="E46" s="35">
        <f>'Zero-par'!G47</f>
        <v>548</v>
      </c>
      <c r="F46" s="35">
        <f>TRec!G47</f>
        <v>9993</v>
      </c>
      <c r="G46" s="35">
        <f>Adults!G47</f>
        <v>3075</v>
      </c>
      <c r="H46" s="35">
        <f>Children!G47</f>
        <v>6918</v>
      </c>
    </row>
    <row r="47" spans="1:8" s="36" customFormat="1" x14ac:dyDescent="0.2">
      <c r="A47" s="42" t="s">
        <v>45</v>
      </c>
      <c r="B47" s="35">
        <f>TFam!G48</f>
        <v>5411</v>
      </c>
      <c r="C47" s="35">
        <f>'Two-par'!G48</f>
        <v>0</v>
      </c>
      <c r="D47" s="35">
        <f>'One-par'!G48</f>
        <v>2435</v>
      </c>
      <c r="E47" s="35">
        <f>'Zero-par'!G48</f>
        <v>2976</v>
      </c>
      <c r="F47" s="35">
        <f>TRec!G48</f>
        <v>12554</v>
      </c>
      <c r="G47" s="35">
        <f>Adults!G48</f>
        <v>2435</v>
      </c>
      <c r="H47" s="35">
        <f>Children!G48</f>
        <v>10119</v>
      </c>
    </row>
    <row r="48" spans="1:8" s="36" customFormat="1" x14ac:dyDescent="0.2">
      <c r="A48" s="42" t="s">
        <v>46</v>
      </c>
      <c r="B48" s="37">
        <f>TFam!G49</f>
        <v>2488</v>
      </c>
      <c r="C48" s="37">
        <f>'Two-par'!G49</f>
        <v>0</v>
      </c>
      <c r="D48" s="37">
        <f>'One-par'!G49</f>
        <v>459</v>
      </c>
      <c r="E48" s="37">
        <f>'Zero-par'!G49</f>
        <v>2029</v>
      </c>
      <c r="F48" s="37">
        <f>TRec!G49</f>
        <v>5012</v>
      </c>
      <c r="G48" s="37">
        <f>Adults!G49</f>
        <v>459</v>
      </c>
      <c r="H48" s="37">
        <f>Children!G49</f>
        <v>4553</v>
      </c>
    </row>
    <row r="49" spans="1:18" s="36" customFormat="1" x14ac:dyDescent="0.2">
      <c r="A49" s="42" t="s">
        <v>47</v>
      </c>
      <c r="B49" s="35">
        <f>TFam!G50</f>
        <v>12175</v>
      </c>
      <c r="C49" s="35">
        <f>'Two-par'!G50</f>
        <v>239</v>
      </c>
      <c r="D49" s="35">
        <f>'One-par'!G50</f>
        <v>3776</v>
      </c>
      <c r="E49" s="35">
        <f>'Zero-par'!G50</f>
        <v>8160</v>
      </c>
      <c r="F49" s="35">
        <f>TRec!G50</f>
        <v>27236</v>
      </c>
      <c r="G49" s="35">
        <f>Adults!G50</f>
        <v>6253</v>
      </c>
      <c r="H49" s="35">
        <f>Children!G50</f>
        <v>20983</v>
      </c>
    </row>
    <row r="50" spans="1:18" s="36" customFormat="1" x14ac:dyDescent="0.2">
      <c r="A50" s="42" t="s">
        <v>48</v>
      </c>
      <c r="B50" s="35">
        <f>TFam!G51</f>
        <v>10423</v>
      </c>
      <c r="C50" s="35">
        <f>'Two-par'!G51</f>
        <v>0</v>
      </c>
      <c r="D50" s="35">
        <f>'One-par'!G51</f>
        <v>3795</v>
      </c>
      <c r="E50" s="35">
        <f>'Zero-par'!G51</f>
        <v>6628</v>
      </c>
      <c r="F50" s="35">
        <f>TRec!G51</f>
        <v>21937</v>
      </c>
      <c r="G50" s="35">
        <f>Adults!G51</f>
        <v>3795</v>
      </c>
      <c r="H50" s="35">
        <f>Children!G51</f>
        <v>18142</v>
      </c>
    </row>
    <row r="51" spans="1:18" s="36" customFormat="1" x14ac:dyDescent="0.2">
      <c r="A51" s="42" t="s">
        <v>49</v>
      </c>
      <c r="B51" s="35">
        <f>TFam!G52</f>
        <v>1903</v>
      </c>
      <c r="C51" s="35">
        <f>'Two-par'!G52</f>
        <v>0</v>
      </c>
      <c r="D51" s="35">
        <f>'One-par'!G52</f>
        <v>900</v>
      </c>
      <c r="E51" s="35">
        <f>'Zero-par'!G52</f>
        <v>1003</v>
      </c>
      <c r="F51" s="35">
        <f>TRec!G52</f>
        <v>5422</v>
      </c>
      <c r="G51" s="35">
        <f>Adults!G52</f>
        <v>2136</v>
      </c>
      <c r="H51" s="35">
        <f>Children!G52</f>
        <v>3286</v>
      </c>
    </row>
    <row r="52" spans="1:18" s="36" customFormat="1" x14ac:dyDescent="0.2">
      <c r="A52" s="42" t="s">
        <v>50</v>
      </c>
      <c r="B52" s="35">
        <f>TFam!G53</f>
        <v>1561</v>
      </c>
      <c r="C52" s="35">
        <f>'Two-par'!G53</f>
        <v>181</v>
      </c>
      <c r="D52" s="35">
        <f>'One-par'!G53</f>
        <v>468</v>
      </c>
      <c r="E52" s="35">
        <f>'Zero-par'!G53</f>
        <v>912</v>
      </c>
      <c r="F52" s="35">
        <f>TRec!G53</f>
        <v>3222</v>
      </c>
      <c r="G52" s="35">
        <f>Adults!G53</f>
        <v>770</v>
      </c>
      <c r="H52" s="35">
        <f>Children!G53</f>
        <v>2452</v>
      </c>
    </row>
    <row r="53" spans="1:18" s="36" customFormat="1" x14ac:dyDescent="0.2">
      <c r="A53" s="42" t="s">
        <v>51</v>
      </c>
      <c r="B53" s="37">
        <f>TFam!G54</f>
        <v>41</v>
      </c>
      <c r="C53" s="37">
        <f>'Two-par'!G54</f>
        <v>0</v>
      </c>
      <c r="D53" s="37">
        <f>'One-par'!G54</f>
        <v>33</v>
      </c>
      <c r="E53" s="37">
        <f>'Zero-par'!G54</f>
        <v>8</v>
      </c>
      <c r="F53" s="37">
        <f>TRec!G54</f>
        <v>131</v>
      </c>
      <c r="G53" s="37">
        <f>Adults!G54</f>
        <v>41</v>
      </c>
      <c r="H53" s="37">
        <f>Children!G54</f>
        <v>90</v>
      </c>
    </row>
    <row r="54" spans="1:18" s="36" customFormat="1" x14ac:dyDescent="0.2">
      <c r="A54" s="42" t="s">
        <v>52</v>
      </c>
      <c r="B54" s="35">
        <f>TFam!G55</f>
        <v>11885</v>
      </c>
      <c r="C54" s="35">
        <f>'Two-par'!G55</f>
        <v>0</v>
      </c>
      <c r="D54" s="35">
        <f>'One-par'!G55</f>
        <v>6055</v>
      </c>
      <c r="E54" s="35">
        <f>'Zero-par'!G55</f>
        <v>5830</v>
      </c>
      <c r="F54" s="35">
        <f>TRec!G55</f>
        <v>26383</v>
      </c>
      <c r="G54" s="35">
        <f>Adults!G55</f>
        <v>6024</v>
      </c>
      <c r="H54" s="35">
        <f>Children!G55</f>
        <v>20359</v>
      </c>
    </row>
    <row r="55" spans="1:18" s="36" customFormat="1" x14ac:dyDescent="0.2">
      <c r="A55" s="42" t="s">
        <v>53</v>
      </c>
      <c r="B55" s="35">
        <f>TFam!G56</f>
        <v>35059</v>
      </c>
      <c r="C55" s="35">
        <f>'Two-par'!G56</f>
        <v>4921</v>
      </c>
      <c r="D55" s="35">
        <f>'One-par'!G56</f>
        <v>19993</v>
      </c>
      <c r="E55" s="35">
        <f>'Zero-par'!G56</f>
        <v>10145</v>
      </c>
      <c r="F55" s="35">
        <f>TRec!G56</f>
        <v>90138</v>
      </c>
      <c r="G55" s="35">
        <f>Adults!G56</f>
        <v>30380</v>
      </c>
      <c r="H55" s="35">
        <f>Children!G56</f>
        <v>59758</v>
      </c>
    </row>
    <row r="56" spans="1:18" s="36" customFormat="1" x14ac:dyDescent="0.2">
      <c r="A56" s="42" t="s">
        <v>54</v>
      </c>
      <c r="B56" s="37">
        <f>TFam!G57</f>
        <v>4456</v>
      </c>
      <c r="C56" s="37">
        <f>'Two-par'!G57</f>
        <v>0</v>
      </c>
      <c r="D56" s="37">
        <f>'One-par'!G57</f>
        <v>1102</v>
      </c>
      <c r="E56" s="37">
        <f>'Zero-par'!G57</f>
        <v>3354</v>
      </c>
      <c r="F56" s="37">
        <f>TRec!G57</f>
        <v>8808</v>
      </c>
      <c r="G56" s="37">
        <f>Adults!G57</f>
        <v>1618</v>
      </c>
      <c r="H56" s="37">
        <f>Children!G57</f>
        <v>7190</v>
      </c>
    </row>
    <row r="57" spans="1:18" s="36" customFormat="1" x14ac:dyDescent="0.2">
      <c r="A57" s="42" t="s">
        <v>55</v>
      </c>
      <c r="B57" s="35">
        <f>TFam!G58</f>
        <v>11191</v>
      </c>
      <c r="C57" s="35">
        <f>'Two-par'!G58</f>
        <v>78</v>
      </c>
      <c r="D57" s="35">
        <f>'One-par'!G58</f>
        <v>3064</v>
      </c>
      <c r="E57" s="35">
        <f>'Zero-par'!G58</f>
        <v>8049</v>
      </c>
      <c r="F57" s="35">
        <f>TRec!G58</f>
        <v>22976</v>
      </c>
      <c r="G57" s="35">
        <f>Adults!G58</f>
        <v>3414</v>
      </c>
      <c r="H57" s="35">
        <f>Children!G58</f>
        <v>19562</v>
      </c>
    </row>
    <row r="58" spans="1:18" s="36" customFormat="1" x14ac:dyDescent="0.2">
      <c r="A58" s="43" t="s">
        <v>56</v>
      </c>
      <c r="B58" s="38">
        <f>TFam!G59</f>
        <v>462</v>
      </c>
      <c r="C58" s="38">
        <f>'Two-par'!G59</f>
        <v>26</v>
      </c>
      <c r="D58" s="38">
        <f>'One-par'!G59</f>
        <v>240</v>
      </c>
      <c r="E58" s="38">
        <f>'Zero-par'!G59</f>
        <v>196</v>
      </c>
      <c r="F58" s="38">
        <f>TRec!G59</f>
        <v>1143</v>
      </c>
      <c r="G58" s="38">
        <f>Adults!G59</f>
        <v>292</v>
      </c>
      <c r="H58" s="38">
        <f>Children!G59</f>
        <v>851</v>
      </c>
    </row>
    <row r="59" spans="1:18" x14ac:dyDescent="0.2">
      <c r="A59" s="80">
        <f>TFam!$A$3</f>
        <v>46111</v>
      </c>
      <c r="B59" s="80"/>
      <c r="C59" s="80"/>
      <c r="D59" s="80"/>
      <c r="E59" s="80"/>
      <c r="F59" s="80"/>
      <c r="G59" s="80"/>
      <c r="H59" s="80"/>
      <c r="I59" s="61"/>
      <c r="J59" s="61"/>
      <c r="K59" s="61"/>
      <c r="L59" s="61"/>
      <c r="M59" s="61"/>
      <c r="N59" s="61"/>
      <c r="O59" s="61"/>
      <c r="P59" s="61"/>
      <c r="Q59" s="61"/>
      <c r="R59" s="61"/>
    </row>
    <row r="60" spans="1:18" x14ac:dyDescent="0.2">
      <c r="A60" s="40" t="s">
        <v>57</v>
      </c>
      <c r="B60" s="40"/>
      <c r="C60" s="40"/>
      <c r="D60" s="40"/>
      <c r="E60" s="40"/>
      <c r="F60" s="40"/>
      <c r="G60" s="40"/>
      <c r="H60" s="40"/>
    </row>
    <row r="61" spans="1:18" x14ac:dyDescent="0.2">
      <c r="A61" s="40" t="s">
        <v>58</v>
      </c>
      <c r="B61" s="40"/>
      <c r="C61" s="40"/>
      <c r="D61" s="40"/>
      <c r="E61" s="40"/>
      <c r="F61" s="40"/>
      <c r="G61" s="40"/>
      <c r="H61" s="40"/>
    </row>
    <row r="62" spans="1:18" x14ac:dyDescent="0.2">
      <c r="A62" s="40" t="s">
        <v>74</v>
      </c>
      <c r="B62" s="40"/>
      <c r="C62" s="40"/>
      <c r="D62" s="40"/>
      <c r="E62" s="40"/>
      <c r="F62" s="40"/>
      <c r="G62" s="40"/>
      <c r="H62" s="40"/>
    </row>
    <row r="63" spans="1:18" x14ac:dyDescent="0.2">
      <c r="C63" s="41"/>
      <c r="D63" s="41"/>
    </row>
    <row r="64" spans="1:18" x14ac:dyDescent="0.2">
      <c r="C64" s="41"/>
      <c r="D64" s="41"/>
    </row>
    <row r="65" spans="3:4" x14ac:dyDescent="0.2">
      <c r="C65" s="41"/>
      <c r="D65" s="41"/>
    </row>
    <row r="66" spans="3:4" x14ac:dyDescent="0.2">
      <c r="C66" s="41"/>
      <c r="D66" s="41"/>
    </row>
    <row r="67" spans="3:4" x14ac:dyDescent="0.2">
      <c r="C67" s="41"/>
      <c r="D67" s="41"/>
    </row>
    <row r="68" spans="3:4" x14ac:dyDescent="0.2">
      <c r="C68" s="41"/>
      <c r="D68" s="41"/>
    </row>
    <row r="69" spans="3:4" x14ac:dyDescent="0.2">
      <c r="C69" s="41"/>
    </row>
    <row r="70" spans="3:4" x14ac:dyDescent="0.2">
      <c r="C70" s="41"/>
    </row>
    <row r="71" spans="3:4" x14ac:dyDescent="0.2">
      <c r="C71" s="41"/>
    </row>
    <row r="72" spans="3:4" x14ac:dyDescent="0.2">
      <c r="C72" s="41"/>
    </row>
    <row r="73" spans="3:4" x14ac:dyDescent="0.2">
      <c r="C73" s="41"/>
    </row>
    <row r="74" spans="3:4" x14ac:dyDescent="0.2">
      <c r="C74" s="41"/>
    </row>
    <row r="75" spans="3:4" x14ac:dyDescent="0.2">
      <c r="C75" s="41"/>
    </row>
    <row r="76" spans="3:4" x14ac:dyDescent="0.2">
      <c r="C76" s="41"/>
    </row>
    <row r="77" spans="3:4" x14ac:dyDescent="0.2">
      <c r="C77" s="41"/>
    </row>
    <row r="78" spans="3:4" x14ac:dyDescent="0.2">
      <c r="C78" s="41"/>
    </row>
    <row r="79" spans="3:4" x14ac:dyDescent="0.2">
      <c r="C79" s="41"/>
    </row>
  </sheetData>
  <pageMargins left="0.7" right="0.7" top="0.75" bottom="0.75" header="0.3" footer="0.3"/>
  <pageSetup scale="9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6328-ECFC-4838-B672-FD048268EDA2}">
  <sheetPr>
    <pageSetUpPr fitToPage="1"/>
  </sheetPr>
  <dimension ref="A1:T128"/>
  <sheetViews>
    <sheetView zoomScaleNormal="100" workbookViewId="0"/>
  </sheetViews>
  <sheetFormatPr defaultColWidth="9.28515625" defaultRowHeight="11.25" x14ac:dyDescent="0.2"/>
  <cols>
    <col min="1" max="1" width="14.28515625" style="74" bestFit="1" customWidth="1"/>
    <col min="2" max="5" width="11.28515625" style="51" customWidth="1"/>
    <col min="6" max="6" width="2.5703125" style="51" customWidth="1"/>
    <col min="7" max="7" width="15.5703125" style="74" customWidth="1"/>
    <col min="8" max="11" width="11.28515625" style="51" customWidth="1"/>
    <col min="12" max="16384" width="9.28515625" style="51"/>
  </cols>
  <sheetData>
    <row r="1" spans="1:11" ht="15" customHeight="1" x14ac:dyDescent="0.25">
      <c r="A1" s="87" t="s">
        <v>103</v>
      </c>
      <c r="B1" s="86"/>
      <c r="C1" s="86"/>
      <c r="D1" s="86"/>
      <c r="E1" s="86"/>
      <c r="F1" s="86"/>
      <c r="G1" s="87"/>
      <c r="H1" s="86"/>
      <c r="I1" s="86"/>
      <c r="J1" s="102"/>
      <c r="K1" s="102"/>
    </row>
    <row r="2" spans="1:11" ht="15" customHeight="1" x14ac:dyDescent="0.2">
      <c r="A2" s="88" t="s">
        <v>65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ht="15" customHeight="1" x14ac:dyDescent="0.2">
      <c r="A3" s="88" t="s">
        <v>98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s="90" customFormat="1" ht="15" customHeight="1" x14ac:dyDescent="0.2">
      <c r="A4" s="103"/>
      <c r="B4" s="117" t="s">
        <v>95</v>
      </c>
      <c r="C4" s="117"/>
      <c r="D4" s="117"/>
      <c r="E4" s="117"/>
      <c r="F4" s="89"/>
      <c r="H4" s="117" t="s">
        <v>96</v>
      </c>
      <c r="I4" s="117"/>
      <c r="J4" s="117"/>
      <c r="K4" s="117"/>
    </row>
    <row r="5" spans="1:11" ht="33.75" x14ac:dyDescent="0.2">
      <c r="A5" s="101" t="s">
        <v>1</v>
      </c>
      <c r="B5" s="31" t="s">
        <v>66</v>
      </c>
      <c r="C5" s="31" t="s">
        <v>67</v>
      </c>
      <c r="D5" s="31" t="s">
        <v>68</v>
      </c>
      <c r="E5" s="31" t="s">
        <v>69</v>
      </c>
      <c r="F5" s="91"/>
      <c r="G5" s="92" t="s">
        <v>1</v>
      </c>
      <c r="H5" s="31" t="s">
        <v>66</v>
      </c>
      <c r="I5" s="31" t="s">
        <v>67</v>
      </c>
      <c r="J5" s="31" t="s">
        <v>68</v>
      </c>
      <c r="K5" s="31" t="s">
        <v>69</v>
      </c>
    </row>
    <row r="6" spans="1:11" s="53" customFormat="1" x14ac:dyDescent="0.2">
      <c r="A6" s="52" t="s">
        <v>2</v>
      </c>
      <c r="B6" s="33">
        <f>TFam!Q5</f>
        <v>849457.83333333337</v>
      </c>
      <c r="C6" s="33">
        <f>'Two-par'!Q5</f>
        <v>57113.333333333336</v>
      </c>
      <c r="D6" s="33">
        <f>'One-par'!Q5</f>
        <v>458729.58333333331</v>
      </c>
      <c r="E6" s="33">
        <f>'Zero-par'!Q5</f>
        <v>333614.91666666669</v>
      </c>
      <c r="F6" s="93"/>
      <c r="G6" s="94" t="s">
        <v>2</v>
      </c>
      <c r="H6" s="33">
        <f>TFam!R5</f>
        <v>836788.33333333337</v>
      </c>
      <c r="I6" s="33">
        <f>'Two-par'!R5</f>
        <v>55309.833333333336</v>
      </c>
      <c r="J6" s="33">
        <f>'One-par'!R5</f>
        <v>454539.66666666669</v>
      </c>
      <c r="K6" s="33">
        <f>'Zero-par'!R5</f>
        <v>326938.83333333331</v>
      </c>
    </row>
    <row r="7" spans="1:11" s="17" customFormat="1" x14ac:dyDescent="0.2">
      <c r="A7" s="54" t="s">
        <v>3</v>
      </c>
      <c r="B7" s="35">
        <f>TFam!Q6</f>
        <v>5983.083333333333</v>
      </c>
      <c r="C7" s="35">
        <f>'Two-par'!Q6</f>
        <v>60.75</v>
      </c>
      <c r="D7" s="35">
        <f>'One-par'!Q6</f>
        <v>2722.3333333333335</v>
      </c>
      <c r="E7" s="35">
        <f>'Zero-par'!Q6</f>
        <v>3200</v>
      </c>
      <c r="F7" s="95"/>
      <c r="G7" s="96" t="s">
        <v>3</v>
      </c>
      <c r="H7" s="35">
        <f>TFam!R6</f>
        <v>5904.083333333333</v>
      </c>
      <c r="I7" s="35">
        <f>'Two-par'!R6</f>
        <v>65.166666666666671</v>
      </c>
      <c r="J7" s="35">
        <f>'One-par'!R6</f>
        <v>2694.4166666666665</v>
      </c>
      <c r="K7" s="35">
        <f>'Zero-par'!R6</f>
        <v>3144.5</v>
      </c>
    </row>
    <row r="8" spans="1:11" s="17" customFormat="1" x14ac:dyDescent="0.2">
      <c r="A8" s="54" t="s">
        <v>4</v>
      </c>
      <c r="B8" s="35">
        <f>TFam!Q7</f>
        <v>1008.4166666666666</v>
      </c>
      <c r="C8" s="35">
        <f>'Two-par'!Q7</f>
        <v>131.25</v>
      </c>
      <c r="D8" s="35">
        <f>'One-par'!Q7</f>
        <v>578.58333333333337</v>
      </c>
      <c r="E8" s="35">
        <f>'Zero-par'!Q7</f>
        <v>298.58333333333331</v>
      </c>
      <c r="F8" s="95"/>
      <c r="G8" s="96" t="s">
        <v>4</v>
      </c>
      <c r="H8" s="35">
        <f>TFam!R7</f>
        <v>965.83333333333337</v>
      </c>
      <c r="I8" s="35">
        <f>'Two-par'!R7</f>
        <v>122.91666666666667</v>
      </c>
      <c r="J8" s="35">
        <f>'One-par'!R7</f>
        <v>548.41666666666663</v>
      </c>
      <c r="K8" s="35">
        <f>'Zero-par'!R7</f>
        <v>294.5</v>
      </c>
    </row>
    <row r="9" spans="1:11" s="17" customFormat="1" x14ac:dyDescent="0.2">
      <c r="A9" s="54" t="s">
        <v>5</v>
      </c>
      <c r="B9" s="35">
        <f>TFam!Q8</f>
        <v>3866.9166666666665</v>
      </c>
      <c r="C9" s="35">
        <f>'Two-par'!Q8</f>
        <v>165.83333333333334</v>
      </c>
      <c r="D9" s="35">
        <f>'One-par'!Q8</f>
        <v>1027.9166666666667</v>
      </c>
      <c r="E9" s="35">
        <f>'Zero-par'!Q8</f>
        <v>2673.1666666666665</v>
      </c>
      <c r="F9" s="95"/>
      <c r="G9" s="96" t="s">
        <v>5</v>
      </c>
      <c r="H9" s="35">
        <f>TFam!R8</f>
        <v>3492</v>
      </c>
      <c r="I9" s="35">
        <f>'Two-par'!R8</f>
        <v>115.91666666666667</v>
      </c>
      <c r="J9" s="35">
        <f>'One-par'!R8</f>
        <v>861.41666666666663</v>
      </c>
      <c r="K9" s="35">
        <f>'Zero-par'!R8</f>
        <v>2514.6666666666665</v>
      </c>
    </row>
    <row r="10" spans="1:11" s="17" customFormat="1" x14ac:dyDescent="0.2">
      <c r="A10" s="54" t="s">
        <v>6</v>
      </c>
      <c r="B10" s="35">
        <f>TFam!Q9</f>
        <v>736.75</v>
      </c>
      <c r="C10" s="35">
        <f>'Two-par'!Q9</f>
        <v>28.25</v>
      </c>
      <c r="D10" s="35">
        <f>'One-par'!Q9</f>
        <v>427</v>
      </c>
      <c r="E10" s="35">
        <f>'Zero-par'!Q9</f>
        <v>281.5</v>
      </c>
      <c r="F10" s="95"/>
      <c r="G10" s="96" t="s">
        <v>6</v>
      </c>
      <c r="H10" s="35">
        <f>TFam!R9</f>
        <v>760.33333333333337</v>
      </c>
      <c r="I10" s="35">
        <f>'Two-par'!R9</f>
        <v>30.75</v>
      </c>
      <c r="J10" s="35">
        <f>'One-par'!R9</f>
        <v>455.58333333333331</v>
      </c>
      <c r="K10" s="35">
        <f>'Zero-par'!R9</f>
        <v>274</v>
      </c>
    </row>
    <row r="11" spans="1:11" s="17" customFormat="1" x14ac:dyDescent="0.2">
      <c r="A11" s="54" t="s">
        <v>7</v>
      </c>
      <c r="B11" s="35">
        <f>TFam!Q10</f>
        <v>304559.08333333331</v>
      </c>
      <c r="C11" s="35">
        <f>'Two-par'!Q10</f>
        <v>40149.416666666664</v>
      </c>
      <c r="D11" s="35">
        <f>'One-par'!Q10</f>
        <v>163353.5</v>
      </c>
      <c r="E11" s="35">
        <f>'Zero-par'!Q10</f>
        <v>101056.16666666667</v>
      </c>
      <c r="F11" s="95"/>
      <c r="G11" s="96" t="s">
        <v>7</v>
      </c>
      <c r="H11" s="35">
        <f>TFam!R10</f>
        <v>302149.25</v>
      </c>
      <c r="I11" s="35">
        <f>'Two-par'!R10</f>
        <v>39668.416666666664</v>
      </c>
      <c r="J11" s="35">
        <f>'One-par'!R10</f>
        <v>162865.33333333334</v>
      </c>
      <c r="K11" s="35">
        <f>'Zero-par'!R10</f>
        <v>99615.5</v>
      </c>
    </row>
    <row r="12" spans="1:11" s="17" customFormat="1" x14ac:dyDescent="0.2">
      <c r="A12" s="54" t="s">
        <v>8</v>
      </c>
      <c r="B12" s="35">
        <f>TFam!Q11</f>
        <v>13620.75</v>
      </c>
      <c r="C12" s="35">
        <f>'Two-par'!Q11</f>
        <v>0</v>
      </c>
      <c r="D12" s="35">
        <f>'One-par'!Q11</f>
        <v>9397.8333333333339</v>
      </c>
      <c r="E12" s="35">
        <f>'Zero-par'!Q11</f>
        <v>4222.916666666667</v>
      </c>
      <c r="F12" s="95"/>
      <c r="G12" s="96" t="s">
        <v>8</v>
      </c>
      <c r="H12" s="35">
        <f>TFam!R11</f>
        <v>13255.5</v>
      </c>
      <c r="I12" s="35">
        <f>'Two-par'!R11</f>
        <v>0</v>
      </c>
      <c r="J12" s="35">
        <f>'One-par'!R11</f>
        <v>9192.1666666666661</v>
      </c>
      <c r="K12" s="35">
        <f>'Zero-par'!R11</f>
        <v>4063.3333333333335</v>
      </c>
    </row>
    <row r="13" spans="1:11" s="17" customFormat="1" x14ac:dyDescent="0.2">
      <c r="A13" s="54" t="s">
        <v>9</v>
      </c>
      <c r="B13" s="35">
        <f>TFam!Q12</f>
        <v>5128.666666666667</v>
      </c>
      <c r="C13" s="35">
        <f>'Two-par'!Q12</f>
        <v>0</v>
      </c>
      <c r="D13" s="35">
        <f>'One-par'!Q12</f>
        <v>2330.0833333333335</v>
      </c>
      <c r="E13" s="35">
        <f>'Zero-par'!Q12</f>
        <v>2798.5833333333335</v>
      </c>
      <c r="F13" s="95"/>
      <c r="G13" s="96" t="s">
        <v>9</v>
      </c>
      <c r="H13" s="35">
        <f>TFam!R12</f>
        <v>4938.416666666667</v>
      </c>
      <c r="I13" s="35">
        <f>'Two-par'!R12</f>
        <v>0</v>
      </c>
      <c r="J13" s="35">
        <f>'One-par'!R12</f>
        <v>2243.5833333333335</v>
      </c>
      <c r="K13" s="35">
        <f>'Zero-par'!R12</f>
        <v>2694.8333333333335</v>
      </c>
    </row>
    <row r="14" spans="1:11" s="17" customFormat="1" x14ac:dyDescent="0.2">
      <c r="A14" s="54" t="s">
        <v>10</v>
      </c>
      <c r="B14" s="35">
        <f>TFam!Q13</f>
        <v>2367.5</v>
      </c>
      <c r="C14" s="35">
        <f>'Two-par'!Q13</f>
        <v>4.833333333333333</v>
      </c>
      <c r="D14" s="35">
        <f>'One-par'!Q13</f>
        <v>541.91666666666663</v>
      </c>
      <c r="E14" s="35">
        <f>'Zero-par'!Q13</f>
        <v>1820.75</v>
      </c>
      <c r="F14" s="95"/>
      <c r="G14" s="96" t="s">
        <v>10</v>
      </c>
      <c r="H14" s="35">
        <f>TFam!R13</f>
        <v>2292.9166666666665</v>
      </c>
      <c r="I14" s="35">
        <f>'Two-par'!R13</f>
        <v>5.166666666666667</v>
      </c>
      <c r="J14" s="35">
        <f>'One-par'!R13</f>
        <v>508.41666666666669</v>
      </c>
      <c r="K14" s="35">
        <f>'Zero-par'!R13</f>
        <v>1779.3333333333333</v>
      </c>
    </row>
    <row r="15" spans="1:11" s="17" customFormat="1" x14ac:dyDescent="0.2">
      <c r="A15" s="54" t="s">
        <v>11</v>
      </c>
      <c r="B15" s="35">
        <f>TFam!Q14</f>
        <v>5880.916666666667</v>
      </c>
      <c r="C15" s="35">
        <f>'Two-par'!Q14</f>
        <v>0</v>
      </c>
      <c r="D15" s="35">
        <f>'One-par'!Q14</f>
        <v>4360.416666666667</v>
      </c>
      <c r="E15" s="35">
        <f>'Zero-par'!Q14</f>
        <v>1520.5</v>
      </c>
      <c r="F15" s="95"/>
      <c r="G15" s="96" t="s">
        <v>11</v>
      </c>
      <c r="H15" s="35">
        <f>TFam!R14</f>
        <v>5188.833333333333</v>
      </c>
      <c r="I15" s="35">
        <f>'Two-par'!R14</f>
        <v>0</v>
      </c>
      <c r="J15" s="35">
        <f>'One-par'!R14</f>
        <v>3669.0833333333335</v>
      </c>
      <c r="K15" s="35">
        <f>'Zero-par'!R14</f>
        <v>1519.75</v>
      </c>
    </row>
    <row r="16" spans="1:11" s="17" customFormat="1" x14ac:dyDescent="0.2">
      <c r="A16" s="54" t="s">
        <v>12</v>
      </c>
      <c r="B16" s="35">
        <f>TFam!Q15</f>
        <v>22338.75</v>
      </c>
      <c r="C16" s="35">
        <f>'Two-par'!Q15</f>
        <v>1770.1666666666667</v>
      </c>
      <c r="D16" s="35">
        <f>'One-par'!Q15</f>
        <v>6023</v>
      </c>
      <c r="E16" s="35">
        <f>'Zero-par'!Q15</f>
        <v>14545.583333333334</v>
      </c>
      <c r="F16" s="95"/>
      <c r="G16" s="96" t="s">
        <v>12</v>
      </c>
      <c r="H16" s="35">
        <f>TFam!R15</f>
        <v>19988.25</v>
      </c>
      <c r="I16" s="35">
        <f>'Two-par'!R15</f>
        <v>1165.4166666666667</v>
      </c>
      <c r="J16" s="35">
        <f>'One-par'!R15</f>
        <v>5124.75</v>
      </c>
      <c r="K16" s="35">
        <f>'Zero-par'!R15</f>
        <v>13698.083333333334</v>
      </c>
    </row>
    <row r="17" spans="1:11" s="17" customFormat="1" x14ac:dyDescent="0.2">
      <c r="A17" s="54" t="s">
        <v>13</v>
      </c>
      <c r="B17" s="35">
        <f>TFam!Q16</f>
        <v>3694.3333333333335</v>
      </c>
      <c r="C17" s="35">
        <f>'Two-par'!Q16</f>
        <v>0</v>
      </c>
      <c r="D17" s="35">
        <f>'One-par'!Q16</f>
        <v>157.25</v>
      </c>
      <c r="E17" s="35">
        <f>'Zero-par'!Q16</f>
        <v>3537.0833333333335</v>
      </c>
      <c r="F17" s="95"/>
      <c r="G17" s="96" t="s">
        <v>13</v>
      </c>
      <c r="H17" s="35">
        <f>TFam!R16</f>
        <v>3592.75</v>
      </c>
      <c r="I17" s="35">
        <f>'Two-par'!R16</f>
        <v>0</v>
      </c>
      <c r="J17" s="35">
        <f>'One-par'!R16</f>
        <v>173.41666666666666</v>
      </c>
      <c r="K17" s="35">
        <f>'Zero-par'!R16</f>
        <v>3419.3333333333335</v>
      </c>
    </row>
    <row r="18" spans="1:11" s="17" customFormat="1" x14ac:dyDescent="0.2">
      <c r="A18" s="54" t="s">
        <v>14</v>
      </c>
      <c r="B18" s="35">
        <f>TFam!Q17</f>
        <v>210.08333333333334</v>
      </c>
      <c r="C18" s="35">
        <f>'Two-par'!Q17</f>
        <v>13.25</v>
      </c>
      <c r="D18" s="35">
        <f>'One-par'!Q17</f>
        <v>62.083333333333336</v>
      </c>
      <c r="E18" s="35">
        <f>'Zero-par'!Q17</f>
        <v>134.75</v>
      </c>
      <c r="F18" s="95"/>
      <c r="G18" s="96" t="s">
        <v>14</v>
      </c>
      <c r="H18" s="35">
        <f>TFam!R17</f>
        <v>208.33333333333334</v>
      </c>
      <c r="I18" s="35">
        <f>'Two-par'!R17</f>
        <v>16.916666666666668</v>
      </c>
      <c r="J18" s="35">
        <f>'One-par'!R17</f>
        <v>69.5</v>
      </c>
      <c r="K18" s="35">
        <f>'Zero-par'!R17</f>
        <v>121.91666666666667</v>
      </c>
    </row>
    <row r="19" spans="1:11" s="17" customFormat="1" x14ac:dyDescent="0.2">
      <c r="A19" s="54" t="s">
        <v>15</v>
      </c>
      <c r="B19" s="35">
        <f>TFam!Q18</f>
        <v>1796.3333333333333</v>
      </c>
      <c r="C19" s="35">
        <f>'Two-par'!Q18</f>
        <v>248.25</v>
      </c>
      <c r="D19" s="35">
        <f>'One-par'!Q18</f>
        <v>1030.6666666666667</v>
      </c>
      <c r="E19" s="35">
        <f>'Zero-par'!Q18</f>
        <v>517.41666666666663</v>
      </c>
      <c r="F19" s="95"/>
      <c r="G19" s="96" t="s">
        <v>15</v>
      </c>
      <c r="H19" s="35">
        <f>TFam!R18</f>
        <v>1783.8333333333333</v>
      </c>
      <c r="I19" s="35">
        <f>'Two-par'!R18</f>
        <v>244.16666666666666</v>
      </c>
      <c r="J19" s="35">
        <f>'One-par'!R18</f>
        <v>1032.9166666666667</v>
      </c>
      <c r="K19" s="35">
        <f>'Zero-par'!R18</f>
        <v>506.75</v>
      </c>
    </row>
    <row r="20" spans="1:11" s="17" customFormat="1" x14ac:dyDescent="0.2">
      <c r="A20" s="54" t="s">
        <v>16</v>
      </c>
      <c r="B20" s="35">
        <f>TFam!Q19</f>
        <v>1441.4166666666667</v>
      </c>
      <c r="C20" s="35">
        <f>'Two-par'!Q19</f>
        <v>0</v>
      </c>
      <c r="D20" s="35">
        <f>'One-par'!Q19</f>
        <v>47.25</v>
      </c>
      <c r="E20" s="35">
        <f>'Zero-par'!Q19</f>
        <v>1394.1666666666667</v>
      </c>
      <c r="F20" s="95"/>
      <c r="G20" s="96" t="s">
        <v>16</v>
      </c>
      <c r="H20" s="35">
        <f>TFam!R19</f>
        <v>1408.3333333333333</v>
      </c>
      <c r="I20" s="35">
        <f>'Two-par'!R19</f>
        <v>0</v>
      </c>
      <c r="J20" s="35">
        <f>'One-par'!R19</f>
        <v>48.583333333333336</v>
      </c>
      <c r="K20" s="35">
        <f>'Zero-par'!R19</f>
        <v>1359.75</v>
      </c>
    </row>
    <row r="21" spans="1:11" s="17" customFormat="1" x14ac:dyDescent="0.2">
      <c r="A21" s="54" t="s">
        <v>17</v>
      </c>
      <c r="B21" s="35">
        <f>TFam!Q20</f>
        <v>10287.916666666666</v>
      </c>
      <c r="C21" s="35">
        <f>'Two-par'!Q20</f>
        <v>0</v>
      </c>
      <c r="D21" s="35">
        <f>'One-par'!Q20</f>
        <v>2647.1666666666665</v>
      </c>
      <c r="E21" s="35">
        <f>'Zero-par'!Q20</f>
        <v>7640.75</v>
      </c>
      <c r="F21" s="95"/>
      <c r="G21" s="96" t="s">
        <v>17</v>
      </c>
      <c r="H21" s="35">
        <f>TFam!R20</f>
        <v>10593.75</v>
      </c>
      <c r="I21" s="35">
        <f>'Two-par'!R20</f>
        <v>0</v>
      </c>
      <c r="J21" s="35">
        <f>'One-par'!R20</f>
        <v>3013</v>
      </c>
      <c r="K21" s="35">
        <f>'Zero-par'!R20</f>
        <v>7580.75</v>
      </c>
    </row>
    <row r="22" spans="1:11" s="17" customFormat="1" x14ac:dyDescent="0.2">
      <c r="A22" s="54" t="s">
        <v>18</v>
      </c>
      <c r="B22" s="35">
        <f>TFam!Q21</f>
        <v>5283</v>
      </c>
      <c r="C22" s="35">
        <f>'Two-par'!Q21</f>
        <v>350.25</v>
      </c>
      <c r="D22" s="35">
        <f>'One-par'!Q21</f>
        <v>2562.4166666666665</v>
      </c>
      <c r="E22" s="35">
        <f>'Zero-par'!Q21</f>
        <v>2370.3333333333335</v>
      </c>
      <c r="F22" s="95"/>
      <c r="G22" s="96" t="s">
        <v>18</v>
      </c>
      <c r="H22" s="35">
        <f>TFam!R21</f>
        <v>5083.416666666667</v>
      </c>
      <c r="I22" s="35">
        <f>'Two-par'!R21</f>
        <v>237.58333333333334</v>
      </c>
      <c r="J22" s="35">
        <f>'One-par'!R21</f>
        <v>2543.1666666666665</v>
      </c>
      <c r="K22" s="35">
        <f>'Zero-par'!R21</f>
        <v>2302.6666666666665</v>
      </c>
    </row>
    <row r="23" spans="1:11" s="17" customFormat="1" x14ac:dyDescent="0.2">
      <c r="A23" s="54" t="s">
        <v>19</v>
      </c>
      <c r="B23" s="35">
        <f>TFam!Q22</f>
        <v>4106.583333333333</v>
      </c>
      <c r="C23" s="35">
        <f>'Two-par'!Q22</f>
        <v>329.16666666666669</v>
      </c>
      <c r="D23" s="35">
        <f>'One-par'!Q22</f>
        <v>2143.4166666666665</v>
      </c>
      <c r="E23" s="35">
        <f>'Zero-par'!Q22</f>
        <v>1634</v>
      </c>
      <c r="F23" s="95"/>
      <c r="G23" s="96" t="s">
        <v>19</v>
      </c>
      <c r="H23" s="35">
        <f>TFam!R22</f>
        <v>4010.4166666666665</v>
      </c>
      <c r="I23" s="35">
        <f>'Two-par'!R22</f>
        <v>311.75</v>
      </c>
      <c r="J23" s="35">
        <f>'One-par'!R22</f>
        <v>2135.1666666666665</v>
      </c>
      <c r="K23" s="35">
        <f>'Zero-par'!R22</f>
        <v>1563.5</v>
      </c>
    </row>
    <row r="24" spans="1:11" s="17" customFormat="1" x14ac:dyDescent="0.2">
      <c r="A24" s="54" t="s">
        <v>20</v>
      </c>
      <c r="B24" s="35">
        <f>TFam!Q23</f>
        <v>2803.75</v>
      </c>
      <c r="C24" s="35">
        <f>'Two-par'!Q23</f>
        <v>237.66666666666666</v>
      </c>
      <c r="D24" s="35">
        <f>'One-par'!Q23</f>
        <v>1421.75</v>
      </c>
      <c r="E24" s="35">
        <f>'Zero-par'!Q23</f>
        <v>1144.3333333333333</v>
      </c>
      <c r="F24" s="95"/>
      <c r="G24" s="96" t="s">
        <v>20</v>
      </c>
      <c r="H24" s="35">
        <f>TFam!R23</f>
        <v>2762.3333333333335</v>
      </c>
      <c r="I24" s="35">
        <f>'Two-par'!R23</f>
        <v>226.25</v>
      </c>
      <c r="J24" s="35">
        <f>'One-par'!R23</f>
        <v>1431.8333333333333</v>
      </c>
      <c r="K24" s="35">
        <f>'Zero-par'!R23</f>
        <v>1104.25</v>
      </c>
    </row>
    <row r="25" spans="1:11" s="17" customFormat="1" x14ac:dyDescent="0.2">
      <c r="A25" s="54" t="s">
        <v>21</v>
      </c>
      <c r="B25" s="35">
        <f>TFam!Q24</f>
        <v>15809.333333333334</v>
      </c>
      <c r="C25" s="35">
        <f>'Two-par'!Q24</f>
        <v>1021.8333333333334</v>
      </c>
      <c r="D25" s="35">
        <f>'One-par'!Q24</f>
        <v>6747.25</v>
      </c>
      <c r="E25" s="35">
        <f>'Zero-par'!Q24</f>
        <v>8040.25</v>
      </c>
      <c r="F25" s="95"/>
      <c r="G25" s="96" t="s">
        <v>21</v>
      </c>
      <c r="H25" s="35">
        <f>TFam!R24</f>
        <v>15587.75</v>
      </c>
      <c r="I25" s="35">
        <f>'Two-par'!R24</f>
        <v>938.41666666666663</v>
      </c>
      <c r="J25" s="35">
        <f>'One-par'!R24</f>
        <v>6827.083333333333</v>
      </c>
      <c r="K25" s="35">
        <f>'Zero-par'!R24</f>
        <v>7822.25</v>
      </c>
    </row>
    <row r="26" spans="1:11" s="17" customFormat="1" x14ac:dyDescent="0.2">
      <c r="A26" s="54" t="s">
        <v>22</v>
      </c>
      <c r="B26" s="35">
        <f>TFam!Q25</f>
        <v>4718.083333333333</v>
      </c>
      <c r="C26" s="35">
        <f>'Two-par'!Q25</f>
        <v>0</v>
      </c>
      <c r="D26" s="35">
        <f>'One-par'!Q25</f>
        <v>2685.0833333333335</v>
      </c>
      <c r="E26" s="35">
        <f>'Zero-par'!Q25</f>
        <v>2033</v>
      </c>
      <c r="F26" s="95"/>
      <c r="G26" s="96" t="s">
        <v>22</v>
      </c>
      <c r="H26" s="35">
        <f>TFam!R25</f>
        <v>4535.333333333333</v>
      </c>
      <c r="I26" s="35">
        <f>'Two-par'!R25</f>
        <v>0</v>
      </c>
      <c r="J26" s="35">
        <f>'One-par'!R25</f>
        <v>2525.5</v>
      </c>
      <c r="K26" s="35">
        <f>'Zero-par'!R25</f>
        <v>2009.8333333333333</v>
      </c>
    </row>
    <row r="27" spans="1:11" s="17" customFormat="1" x14ac:dyDescent="0.2">
      <c r="A27" s="54" t="s">
        <v>23</v>
      </c>
      <c r="B27" s="35">
        <f>TFam!Q26</f>
        <v>4031.5833333333335</v>
      </c>
      <c r="C27" s="35">
        <f>'Two-par'!Q26</f>
        <v>618.16666666666663</v>
      </c>
      <c r="D27" s="35">
        <f>'One-par'!Q26</f>
        <v>2399</v>
      </c>
      <c r="E27" s="35">
        <f>'Zero-par'!Q26</f>
        <v>1014.4166666666666</v>
      </c>
      <c r="F27" s="95"/>
      <c r="G27" s="96" t="s">
        <v>23</v>
      </c>
      <c r="H27" s="35">
        <f>TFam!R26</f>
        <v>4100.75</v>
      </c>
      <c r="I27" s="35">
        <f>'Two-par'!R26</f>
        <v>640.33333333333337</v>
      </c>
      <c r="J27" s="35">
        <f>'One-par'!R26</f>
        <v>2458.8333333333335</v>
      </c>
      <c r="K27" s="35">
        <f>'Zero-par'!R26</f>
        <v>1001.5833333333334</v>
      </c>
    </row>
    <row r="28" spans="1:11" s="17" customFormat="1" x14ac:dyDescent="0.2">
      <c r="A28" s="54" t="s">
        <v>24</v>
      </c>
      <c r="B28" s="35">
        <f>TFam!Q27</f>
        <v>14187.333333333334</v>
      </c>
      <c r="C28" s="35">
        <f>'Two-par'!Q27</f>
        <v>0</v>
      </c>
      <c r="D28" s="35">
        <f>'One-par'!Q27</f>
        <v>10341.916666666666</v>
      </c>
      <c r="E28" s="35">
        <f>'Zero-par'!Q27</f>
        <v>3845.4166666666665</v>
      </c>
      <c r="F28" s="95"/>
      <c r="G28" s="96" t="s">
        <v>24</v>
      </c>
      <c r="H28" s="35">
        <f>TFam!R27</f>
        <v>13899.333333333334</v>
      </c>
      <c r="I28" s="35">
        <f>'Two-par'!R27</f>
        <v>0</v>
      </c>
      <c r="J28" s="35">
        <f>'One-par'!R27</f>
        <v>10150.583333333334</v>
      </c>
      <c r="K28" s="35">
        <f>'Zero-par'!R27</f>
        <v>3748.75</v>
      </c>
    </row>
    <row r="29" spans="1:11" s="17" customFormat="1" x14ac:dyDescent="0.2">
      <c r="A29" s="54" t="s">
        <v>25</v>
      </c>
      <c r="B29" s="35">
        <f>TFam!Q28</f>
        <v>37383.333333333336</v>
      </c>
      <c r="C29" s="35">
        <f>'Two-par'!Q28</f>
        <v>2429.5</v>
      </c>
      <c r="D29" s="35">
        <f>'One-par'!Q28</f>
        <v>23134.75</v>
      </c>
      <c r="E29" s="35">
        <f>'Zero-par'!Q28</f>
        <v>11819.083333333334</v>
      </c>
      <c r="F29" s="95"/>
      <c r="G29" s="96" t="s">
        <v>25</v>
      </c>
      <c r="H29" s="35">
        <f>TFam!R28</f>
        <v>36916.166666666664</v>
      </c>
      <c r="I29" s="35">
        <f>'Two-par'!R28</f>
        <v>2431.4166666666665</v>
      </c>
      <c r="J29" s="35">
        <f>'One-par'!R28</f>
        <v>22729.5</v>
      </c>
      <c r="K29" s="35">
        <f>'Zero-par'!R28</f>
        <v>11755.25</v>
      </c>
    </row>
    <row r="30" spans="1:11" s="17" customFormat="1" x14ac:dyDescent="0.2">
      <c r="A30" s="54" t="s">
        <v>26</v>
      </c>
      <c r="B30" s="35">
        <f>TFam!Q29</f>
        <v>8610.25</v>
      </c>
      <c r="C30" s="35">
        <f>'Two-par'!Q29</f>
        <v>0</v>
      </c>
      <c r="D30" s="35">
        <f>'One-par'!Q29</f>
        <v>4782.583333333333</v>
      </c>
      <c r="E30" s="35">
        <f>'Zero-par'!Q29</f>
        <v>3827.6666666666665</v>
      </c>
      <c r="F30" s="95"/>
      <c r="G30" s="96" t="s">
        <v>26</v>
      </c>
      <c r="H30" s="35">
        <f>TFam!R29</f>
        <v>8944.5</v>
      </c>
      <c r="I30" s="35">
        <f>'Two-par'!R29</f>
        <v>0</v>
      </c>
      <c r="J30" s="35">
        <f>'One-par'!R29</f>
        <v>5173.833333333333</v>
      </c>
      <c r="K30" s="35">
        <f>'Zero-par'!R29</f>
        <v>3770.6666666666665</v>
      </c>
    </row>
    <row r="31" spans="1:11" s="17" customFormat="1" x14ac:dyDescent="0.2">
      <c r="A31" s="54" t="s">
        <v>27</v>
      </c>
      <c r="B31" s="35">
        <f>TFam!Q30</f>
        <v>13249.166666666666</v>
      </c>
      <c r="C31" s="35">
        <f>'Two-par'!Q30</f>
        <v>0</v>
      </c>
      <c r="D31" s="35">
        <f>'One-par'!Q30</f>
        <v>7883.666666666667</v>
      </c>
      <c r="E31" s="35">
        <f>'Zero-par'!Q30</f>
        <v>5365.5</v>
      </c>
      <c r="F31" s="95"/>
      <c r="G31" s="96" t="s">
        <v>27</v>
      </c>
      <c r="H31" s="35">
        <f>TFam!R30</f>
        <v>13298.083333333334</v>
      </c>
      <c r="I31" s="35">
        <f>'Two-par'!R30</f>
        <v>0</v>
      </c>
      <c r="J31" s="35">
        <f>'One-par'!R30</f>
        <v>8001.166666666667</v>
      </c>
      <c r="K31" s="35">
        <f>'Zero-par'!R30</f>
        <v>5296.916666666667</v>
      </c>
    </row>
    <row r="32" spans="1:11" s="17" customFormat="1" x14ac:dyDescent="0.2">
      <c r="A32" s="54" t="s">
        <v>28</v>
      </c>
      <c r="B32" s="35">
        <f>TFam!Q31</f>
        <v>1302.5833333333333</v>
      </c>
      <c r="C32" s="35">
        <f>'Two-par'!Q31</f>
        <v>0</v>
      </c>
      <c r="D32" s="35">
        <f>'One-par'!Q31</f>
        <v>272.08333333333331</v>
      </c>
      <c r="E32" s="35">
        <f>'Zero-par'!Q31</f>
        <v>1030.5</v>
      </c>
      <c r="F32" s="95"/>
      <c r="G32" s="96" t="s">
        <v>28</v>
      </c>
      <c r="H32" s="35">
        <f>TFam!R31</f>
        <v>1263.8333333333333</v>
      </c>
      <c r="I32" s="35">
        <f>'Two-par'!R31</f>
        <v>0</v>
      </c>
      <c r="J32" s="35">
        <f>'One-par'!R31</f>
        <v>272.91666666666669</v>
      </c>
      <c r="K32" s="35">
        <f>'Zero-par'!R31</f>
        <v>990.91666666666663</v>
      </c>
    </row>
    <row r="33" spans="1:11" s="17" customFormat="1" x14ac:dyDescent="0.2">
      <c r="A33" s="54" t="s">
        <v>29</v>
      </c>
      <c r="B33" s="35">
        <f>TFam!Q32</f>
        <v>4718.916666666667</v>
      </c>
      <c r="C33" s="35">
        <f>'Two-par'!Q32</f>
        <v>0</v>
      </c>
      <c r="D33" s="35">
        <f>'One-par'!Q32</f>
        <v>2797.6666666666665</v>
      </c>
      <c r="E33" s="35">
        <f>'Zero-par'!Q32</f>
        <v>1921.25</v>
      </c>
      <c r="F33" s="95"/>
      <c r="G33" s="96" t="s">
        <v>29</v>
      </c>
      <c r="H33" s="35">
        <f>TFam!R32</f>
        <v>4557.833333333333</v>
      </c>
      <c r="I33" s="35">
        <f>'Two-par'!R32</f>
        <v>0</v>
      </c>
      <c r="J33" s="35">
        <f>'One-par'!R32</f>
        <v>2709.75</v>
      </c>
      <c r="K33" s="35">
        <f>'Zero-par'!R32</f>
        <v>1848.0833333333333</v>
      </c>
    </row>
    <row r="34" spans="1:11" s="17" customFormat="1" x14ac:dyDescent="0.2">
      <c r="A34" s="54" t="s">
        <v>30</v>
      </c>
      <c r="B34" s="35">
        <f>TFam!Q33</f>
        <v>1506</v>
      </c>
      <c r="C34" s="35">
        <f>'Two-par'!Q33</f>
        <v>88</v>
      </c>
      <c r="D34" s="35">
        <f>'One-par'!Q33</f>
        <v>616.16666666666663</v>
      </c>
      <c r="E34" s="35">
        <f>'Zero-par'!Q33</f>
        <v>801.83333333333337</v>
      </c>
      <c r="F34" s="95"/>
      <c r="G34" s="96" t="s">
        <v>30</v>
      </c>
      <c r="H34" s="35">
        <f>TFam!R33</f>
        <v>1468.8333333333333</v>
      </c>
      <c r="I34" s="35">
        <f>'Two-par'!R33</f>
        <v>82.333333333333329</v>
      </c>
      <c r="J34" s="35">
        <f>'One-par'!R33</f>
        <v>608.16666666666663</v>
      </c>
      <c r="K34" s="35">
        <f>'Zero-par'!R33</f>
        <v>778.33333333333337</v>
      </c>
    </row>
    <row r="35" spans="1:11" s="17" customFormat="1" x14ac:dyDescent="0.2">
      <c r="A35" s="54" t="s">
        <v>31</v>
      </c>
      <c r="B35" s="35">
        <f>TFam!Q34</f>
        <v>2350.5</v>
      </c>
      <c r="C35" s="35">
        <f>'Two-par'!Q34</f>
        <v>0</v>
      </c>
      <c r="D35" s="35">
        <f>'One-par'!Q34</f>
        <v>733.25</v>
      </c>
      <c r="E35" s="35">
        <f>'Zero-par'!Q34</f>
        <v>1617.25</v>
      </c>
      <c r="F35" s="95"/>
      <c r="G35" s="96" t="s">
        <v>31</v>
      </c>
      <c r="H35" s="35">
        <f>TFam!R34</f>
        <v>2225.1666666666665</v>
      </c>
      <c r="I35" s="35">
        <f>'Two-par'!R34</f>
        <v>0</v>
      </c>
      <c r="J35" s="35">
        <f>'One-par'!R34</f>
        <v>669.08333333333337</v>
      </c>
      <c r="K35" s="35">
        <f>'Zero-par'!R34</f>
        <v>1556.0833333333333</v>
      </c>
    </row>
    <row r="36" spans="1:11" s="17" customFormat="1" x14ac:dyDescent="0.2">
      <c r="A36" s="54" t="s">
        <v>32</v>
      </c>
      <c r="B36" s="35">
        <f>TFam!Q35</f>
        <v>5014.5</v>
      </c>
      <c r="C36" s="35">
        <f>'Two-par'!Q35</f>
        <v>471.08333333333331</v>
      </c>
      <c r="D36" s="35">
        <f>'One-par'!Q35</f>
        <v>2211.5</v>
      </c>
      <c r="E36" s="35">
        <f>'Zero-par'!Q35</f>
        <v>2331.9166666666665</v>
      </c>
      <c r="F36" s="95"/>
      <c r="G36" s="96" t="s">
        <v>32</v>
      </c>
      <c r="H36" s="35">
        <f>TFam!R35</f>
        <v>4742.5</v>
      </c>
      <c r="I36" s="35">
        <f>'Two-par'!R35</f>
        <v>415.08333333333331</v>
      </c>
      <c r="J36" s="35">
        <f>'One-par'!R35</f>
        <v>2090.8333333333335</v>
      </c>
      <c r="K36" s="35">
        <f>'Zero-par'!R35</f>
        <v>2236.5833333333335</v>
      </c>
    </row>
    <row r="37" spans="1:11" s="17" customFormat="1" x14ac:dyDescent="0.2">
      <c r="A37" s="54" t="s">
        <v>33</v>
      </c>
      <c r="B37" s="35">
        <f>TFam!Q36</f>
        <v>2422.9166666666665</v>
      </c>
      <c r="C37" s="35">
        <f>'Two-par'!Q36</f>
        <v>1.1666666666666667</v>
      </c>
      <c r="D37" s="35">
        <f>'One-par'!Q36</f>
        <v>1065</v>
      </c>
      <c r="E37" s="35">
        <f>'Zero-par'!Q36</f>
        <v>1356.75</v>
      </c>
      <c r="F37" s="95"/>
      <c r="G37" s="96" t="s">
        <v>33</v>
      </c>
      <c r="H37" s="35">
        <f>TFam!R36</f>
        <v>2401.5</v>
      </c>
      <c r="I37" s="35">
        <f>'Two-par'!R36</f>
        <v>0.91666666666666663</v>
      </c>
      <c r="J37" s="35">
        <f>'One-par'!R36</f>
        <v>1066.1666666666667</v>
      </c>
      <c r="K37" s="35">
        <f>'Zero-par'!R36</f>
        <v>1334.4166666666667</v>
      </c>
    </row>
    <row r="38" spans="1:11" s="17" customFormat="1" x14ac:dyDescent="0.2">
      <c r="A38" s="54" t="s">
        <v>34</v>
      </c>
      <c r="B38" s="35">
        <f>TFam!Q37</f>
        <v>8803.3333333333339</v>
      </c>
      <c r="C38" s="35">
        <f>'Two-par'!Q37</f>
        <v>61.416666666666664</v>
      </c>
      <c r="D38" s="35">
        <f>'One-par'!Q37</f>
        <v>6716.333333333333</v>
      </c>
      <c r="E38" s="35">
        <f>'Zero-par'!Q37</f>
        <v>2025.5833333333333</v>
      </c>
      <c r="F38" s="95"/>
      <c r="G38" s="96" t="s">
        <v>34</v>
      </c>
      <c r="H38" s="35">
        <f>TFam!R37</f>
        <v>8428.5833333333339</v>
      </c>
      <c r="I38" s="35">
        <f>'Two-par'!R37</f>
        <v>50.5</v>
      </c>
      <c r="J38" s="35">
        <f>'One-par'!R37</f>
        <v>6415.166666666667</v>
      </c>
      <c r="K38" s="35">
        <f>'Zero-par'!R37</f>
        <v>1962.9166666666667</v>
      </c>
    </row>
    <row r="39" spans="1:11" s="17" customFormat="1" x14ac:dyDescent="0.2">
      <c r="A39" s="54" t="s">
        <v>35</v>
      </c>
      <c r="B39" s="35">
        <f>TFam!Q38</f>
        <v>6914</v>
      </c>
      <c r="C39" s="35">
        <f>'Two-par'!Q38</f>
        <v>423.58333333333331</v>
      </c>
      <c r="D39" s="35">
        <f>'One-par'!Q38</f>
        <v>3414.3333333333335</v>
      </c>
      <c r="E39" s="35">
        <f>'Zero-par'!Q38</f>
        <v>3076.0833333333335</v>
      </c>
      <c r="F39" s="95"/>
      <c r="G39" s="96" t="s">
        <v>35</v>
      </c>
      <c r="H39" s="35">
        <f>TFam!R38</f>
        <v>6673.333333333333</v>
      </c>
      <c r="I39" s="35">
        <f>'Two-par'!R38</f>
        <v>407.25</v>
      </c>
      <c r="J39" s="35">
        <f>'One-par'!R38</f>
        <v>3278.25</v>
      </c>
      <c r="K39" s="35">
        <f>'Zero-par'!R38</f>
        <v>2987.8333333333335</v>
      </c>
    </row>
    <row r="40" spans="1:11" s="17" customFormat="1" x14ac:dyDescent="0.2">
      <c r="A40" s="54" t="s">
        <v>36</v>
      </c>
      <c r="B40" s="35">
        <f>TFam!Q39</f>
        <v>134020.66666666666</v>
      </c>
      <c r="C40" s="35">
        <f>'Two-par'!Q39</f>
        <v>2083.0833333333335</v>
      </c>
      <c r="D40" s="35">
        <f>'One-par'!Q39</f>
        <v>101316.91666666667</v>
      </c>
      <c r="E40" s="35">
        <f>'Zero-par'!Q39</f>
        <v>30620.666666666668</v>
      </c>
      <c r="F40" s="95"/>
      <c r="G40" s="96" t="s">
        <v>36</v>
      </c>
      <c r="H40" s="35">
        <f>TFam!R39</f>
        <v>133963.08333333334</v>
      </c>
      <c r="I40" s="35">
        <f>'Two-par'!R39</f>
        <v>2197.3333333333335</v>
      </c>
      <c r="J40" s="35">
        <f>'One-par'!R39</f>
        <v>101846.08333333333</v>
      </c>
      <c r="K40" s="35">
        <f>'Zero-par'!R39</f>
        <v>29919.666666666668</v>
      </c>
    </row>
    <row r="41" spans="1:11" s="17" customFormat="1" x14ac:dyDescent="0.2">
      <c r="A41" s="54" t="s">
        <v>37</v>
      </c>
      <c r="B41" s="35">
        <f>TFam!Q40</f>
        <v>6235.166666666667</v>
      </c>
      <c r="C41" s="35">
        <f>'Two-par'!Q40</f>
        <v>49.333333333333336</v>
      </c>
      <c r="D41" s="35">
        <f>'One-par'!Q40</f>
        <v>897.5</v>
      </c>
      <c r="E41" s="35">
        <f>'Zero-par'!Q40</f>
        <v>5288.333333333333</v>
      </c>
      <c r="F41" s="95"/>
      <c r="G41" s="96" t="s">
        <v>37</v>
      </c>
      <c r="H41" s="35">
        <f>TFam!R40</f>
        <v>5976.166666666667</v>
      </c>
      <c r="I41" s="35">
        <f>'Two-par'!R40</f>
        <v>36</v>
      </c>
      <c r="J41" s="35">
        <f>'One-par'!R40</f>
        <v>850</v>
      </c>
      <c r="K41" s="35">
        <f>'Zero-par'!R40</f>
        <v>5090.166666666667</v>
      </c>
    </row>
    <row r="42" spans="1:11" s="17" customFormat="1" x14ac:dyDescent="0.2">
      <c r="A42" s="54" t="s">
        <v>38</v>
      </c>
      <c r="B42" s="35">
        <f>TFam!Q41</f>
        <v>726.83333333333337</v>
      </c>
      <c r="C42" s="35">
        <f>'Two-par'!Q41</f>
        <v>0</v>
      </c>
      <c r="D42" s="35">
        <f>'One-par'!Q41</f>
        <v>442.25</v>
      </c>
      <c r="E42" s="35">
        <f>'Zero-par'!Q41</f>
        <v>284.58333333333331</v>
      </c>
      <c r="F42" s="95"/>
      <c r="G42" s="96" t="s">
        <v>38</v>
      </c>
      <c r="H42" s="35">
        <f>TFam!R41</f>
        <v>734.25</v>
      </c>
      <c r="I42" s="35">
        <f>'Two-par'!R41</f>
        <v>0</v>
      </c>
      <c r="J42" s="35">
        <f>'One-par'!R41</f>
        <v>454.41666666666669</v>
      </c>
      <c r="K42" s="35">
        <f>'Zero-par'!R41</f>
        <v>279.83333333333331</v>
      </c>
    </row>
    <row r="43" spans="1:11" s="17" customFormat="1" x14ac:dyDescent="0.2">
      <c r="A43" s="54" t="s">
        <v>39</v>
      </c>
      <c r="B43" s="35">
        <f>TFam!Q42</f>
        <v>36743.166666666664</v>
      </c>
      <c r="C43" s="35">
        <f>'Two-par'!Q42</f>
        <v>528.91666666666663</v>
      </c>
      <c r="D43" s="35">
        <f>'One-par'!Q42</f>
        <v>5160.916666666667</v>
      </c>
      <c r="E43" s="35">
        <f>'Zero-par'!Q42</f>
        <v>31053.333333333332</v>
      </c>
      <c r="F43" s="95"/>
      <c r="G43" s="96" t="s">
        <v>39</v>
      </c>
      <c r="H43" s="35">
        <f>TFam!R42</f>
        <v>35825.416666666664</v>
      </c>
      <c r="I43" s="35">
        <f>'Two-par'!R42</f>
        <v>458.08333333333331</v>
      </c>
      <c r="J43" s="35">
        <f>'One-par'!R42</f>
        <v>5065.083333333333</v>
      </c>
      <c r="K43" s="35">
        <f>'Zero-par'!R42</f>
        <v>30302.25</v>
      </c>
    </row>
    <row r="44" spans="1:11" s="17" customFormat="1" x14ac:dyDescent="0.2">
      <c r="A44" s="54" t="s">
        <v>40</v>
      </c>
      <c r="B44" s="35">
        <f>TFam!Q43</f>
        <v>3096.5833333333335</v>
      </c>
      <c r="C44" s="35">
        <f>'Two-par'!Q43</f>
        <v>4.333333333333333</v>
      </c>
      <c r="D44" s="35">
        <f>'One-par'!Q43</f>
        <v>1019</v>
      </c>
      <c r="E44" s="35">
        <f>'Zero-par'!Q43</f>
        <v>2073.25</v>
      </c>
      <c r="F44" s="95"/>
      <c r="G44" s="96" t="s">
        <v>40</v>
      </c>
      <c r="H44" s="35">
        <f>TFam!R43</f>
        <v>3110.0833333333335</v>
      </c>
      <c r="I44" s="35">
        <f>'Two-par'!R43</f>
        <v>4.333333333333333</v>
      </c>
      <c r="J44" s="35">
        <f>'One-par'!R43</f>
        <v>1096.5</v>
      </c>
      <c r="K44" s="35">
        <f>'Zero-par'!R43</f>
        <v>2009.25</v>
      </c>
    </row>
    <row r="45" spans="1:11" s="17" customFormat="1" x14ac:dyDescent="0.2">
      <c r="A45" s="54" t="s">
        <v>41</v>
      </c>
      <c r="B45" s="35">
        <f>TFam!Q44</f>
        <v>18581.666666666668</v>
      </c>
      <c r="C45" s="35">
        <f>'Two-par'!Q44</f>
        <v>0</v>
      </c>
      <c r="D45" s="35">
        <f>'One-par'!Q44</f>
        <v>12334.833333333334</v>
      </c>
      <c r="E45" s="35">
        <f>'Zero-par'!Q44</f>
        <v>6246.833333333333</v>
      </c>
      <c r="F45" s="95"/>
      <c r="G45" s="96" t="s">
        <v>41</v>
      </c>
      <c r="H45" s="35">
        <f>TFam!R44</f>
        <v>18511.583333333332</v>
      </c>
      <c r="I45" s="35">
        <f>'Two-par'!R44</f>
        <v>0</v>
      </c>
      <c r="J45" s="35">
        <f>'One-par'!R44</f>
        <v>12251.833333333334</v>
      </c>
      <c r="K45" s="35">
        <f>'Zero-par'!R44</f>
        <v>6259.75</v>
      </c>
    </row>
    <row r="46" spans="1:11" s="17" customFormat="1" x14ac:dyDescent="0.2">
      <c r="A46" s="54" t="s">
        <v>42</v>
      </c>
      <c r="B46" s="35">
        <f>TFam!Q45</f>
        <v>20136.666666666668</v>
      </c>
      <c r="C46" s="35">
        <f>'Two-par'!Q45</f>
        <v>308.08333333333331</v>
      </c>
      <c r="D46" s="35">
        <f>'One-par'!Q45</f>
        <v>12386.25</v>
      </c>
      <c r="E46" s="35">
        <f>'Zero-par'!Q45</f>
        <v>7442.333333333333</v>
      </c>
      <c r="F46" s="95"/>
      <c r="G46" s="96" t="s">
        <v>42</v>
      </c>
      <c r="H46" s="35">
        <f>TFam!R45</f>
        <v>19164.416666666668</v>
      </c>
      <c r="I46" s="35">
        <f>'Two-par'!R45</f>
        <v>329.58333333333331</v>
      </c>
      <c r="J46" s="35">
        <f>'One-par'!R45</f>
        <v>11710.5</v>
      </c>
      <c r="K46" s="35">
        <f>'Zero-par'!R45</f>
        <v>7124.333333333333</v>
      </c>
    </row>
    <row r="47" spans="1:11" s="17" customFormat="1" x14ac:dyDescent="0.2">
      <c r="A47" s="54" t="s">
        <v>43</v>
      </c>
      <c r="B47" s="35">
        <f>TFam!Q46</f>
        <v>2425.1666666666665</v>
      </c>
      <c r="C47" s="35">
        <f>'Two-par'!Q46</f>
        <v>102.75</v>
      </c>
      <c r="D47" s="35">
        <f>'One-par'!Q46</f>
        <v>2167.3333333333335</v>
      </c>
      <c r="E47" s="35">
        <f>'Zero-par'!Q46</f>
        <v>155.08333333333334</v>
      </c>
      <c r="F47" s="95"/>
      <c r="G47" s="96" t="s">
        <v>43</v>
      </c>
      <c r="H47" s="35">
        <f>TFam!R46</f>
        <v>2423.5833333333335</v>
      </c>
      <c r="I47" s="35">
        <f>'Two-par'!R46</f>
        <v>102.41666666666667</v>
      </c>
      <c r="J47" s="35">
        <f>'One-par'!R46</f>
        <v>2170.25</v>
      </c>
      <c r="K47" s="35">
        <f>'Zero-par'!R46</f>
        <v>150.91666666666666</v>
      </c>
    </row>
    <row r="48" spans="1:11" s="17" customFormat="1" x14ac:dyDescent="0.2">
      <c r="A48" s="54" t="s">
        <v>44</v>
      </c>
      <c r="B48" s="35">
        <f>TFam!Q47</f>
        <v>3777.75</v>
      </c>
      <c r="C48" s="35">
        <f>'Two-par'!Q47</f>
        <v>247.75</v>
      </c>
      <c r="D48" s="35">
        <f>'One-par'!Q47</f>
        <v>2998.75</v>
      </c>
      <c r="E48" s="35">
        <f>'Zero-par'!Q47</f>
        <v>531.25</v>
      </c>
      <c r="F48" s="95"/>
      <c r="G48" s="96" t="s">
        <v>44</v>
      </c>
      <c r="H48" s="35">
        <f>TFam!R47</f>
        <v>3716.0833333333335</v>
      </c>
      <c r="I48" s="35">
        <f>'Two-par'!R47</f>
        <v>223.08333333333334</v>
      </c>
      <c r="J48" s="35">
        <f>'One-par'!R47</f>
        <v>2977.6666666666665</v>
      </c>
      <c r="K48" s="35">
        <f>'Zero-par'!R47</f>
        <v>515.33333333333337</v>
      </c>
    </row>
    <row r="49" spans="1:20" s="17" customFormat="1" x14ac:dyDescent="0.2">
      <c r="A49" s="54" t="s">
        <v>45</v>
      </c>
      <c r="B49" s="35">
        <f>TFam!Q48</f>
        <v>5456.166666666667</v>
      </c>
      <c r="C49" s="35">
        <f>'Two-par'!Q48</f>
        <v>0</v>
      </c>
      <c r="D49" s="35">
        <f>'One-par'!Q48</f>
        <v>2489.5833333333335</v>
      </c>
      <c r="E49" s="35">
        <f>'Zero-par'!Q48</f>
        <v>2966.5833333333335</v>
      </c>
      <c r="F49" s="95"/>
      <c r="G49" s="96" t="s">
        <v>45</v>
      </c>
      <c r="H49" s="35">
        <f>TFam!R48</f>
        <v>5323.166666666667</v>
      </c>
      <c r="I49" s="35">
        <f>'Two-par'!R48</f>
        <v>0</v>
      </c>
      <c r="J49" s="35">
        <f>'One-par'!R48</f>
        <v>2408.3333333333335</v>
      </c>
      <c r="K49" s="35">
        <f>'Zero-par'!R48</f>
        <v>2914.8333333333335</v>
      </c>
    </row>
    <row r="50" spans="1:20" s="17" customFormat="1" x14ac:dyDescent="0.2">
      <c r="A50" s="54" t="s">
        <v>46</v>
      </c>
      <c r="B50" s="35">
        <f>TFam!Q49</f>
        <v>2484.0833333333335</v>
      </c>
      <c r="C50" s="35">
        <f>'Two-par'!Q49</f>
        <v>0</v>
      </c>
      <c r="D50" s="35">
        <f>'One-par'!Q49</f>
        <v>453</v>
      </c>
      <c r="E50" s="35">
        <f>'Zero-par'!Q49</f>
        <v>2031.0833333333333</v>
      </c>
      <c r="F50" s="95"/>
      <c r="G50" s="96" t="s">
        <v>46</v>
      </c>
      <c r="H50" s="35">
        <f>TFam!R49</f>
        <v>2439.5</v>
      </c>
      <c r="I50" s="35">
        <f>'Two-par'!R49</f>
        <v>0</v>
      </c>
      <c r="J50" s="35">
        <f>'One-par'!R49</f>
        <v>443.83333333333331</v>
      </c>
      <c r="K50" s="35">
        <f>'Zero-par'!R49</f>
        <v>1995.6666666666667</v>
      </c>
    </row>
    <row r="51" spans="1:20" s="17" customFormat="1" x14ac:dyDescent="0.2">
      <c r="A51" s="54" t="s">
        <v>47</v>
      </c>
      <c r="B51" s="35">
        <f>TFam!Q50</f>
        <v>12760.416666666666</v>
      </c>
      <c r="C51" s="35">
        <f>'Two-par'!Q50</f>
        <v>246.83333333333334</v>
      </c>
      <c r="D51" s="35">
        <f>'One-par'!Q50</f>
        <v>4514.333333333333</v>
      </c>
      <c r="E51" s="35">
        <f>'Zero-par'!Q50</f>
        <v>7999.25</v>
      </c>
      <c r="F51" s="95"/>
      <c r="G51" s="96" t="s">
        <v>47</v>
      </c>
      <c r="H51" s="35">
        <f>TFam!R50</f>
        <v>12688.083333333334</v>
      </c>
      <c r="I51" s="35">
        <f>'Two-par'!R50</f>
        <v>217.66666666666666</v>
      </c>
      <c r="J51" s="35">
        <f>'One-par'!R50</f>
        <v>4288</v>
      </c>
      <c r="K51" s="35">
        <f>'Zero-par'!R50</f>
        <v>8182.416666666667</v>
      </c>
    </row>
    <row r="52" spans="1:20" s="17" customFormat="1" x14ac:dyDescent="0.2">
      <c r="A52" s="54" t="s">
        <v>48</v>
      </c>
      <c r="B52" s="35">
        <f>TFam!Q51</f>
        <v>10957.083333333334</v>
      </c>
      <c r="C52" s="35">
        <f>'Two-par'!Q51</f>
        <v>0</v>
      </c>
      <c r="D52" s="35">
        <f>'One-par'!Q51</f>
        <v>4174.333333333333</v>
      </c>
      <c r="E52" s="35">
        <f>'Zero-par'!Q51</f>
        <v>6782.75</v>
      </c>
      <c r="F52" s="95"/>
      <c r="G52" s="96" t="s">
        <v>48</v>
      </c>
      <c r="H52" s="35">
        <f>TFam!R51</f>
        <v>11171.25</v>
      </c>
      <c r="I52" s="35">
        <f>'Two-par'!R51</f>
        <v>0</v>
      </c>
      <c r="J52" s="35">
        <f>'One-par'!R51</f>
        <v>4392.333333333333</v>
      </c>
      <c r="K52" s="35">
        <f>'Zero-par'!R51</f>
        <v>6778.916666666667</v>
      </c>
    </row>
    <row r="53" spans="1:20" s="17" customFormat="1" x14ac:dyDescent="0.2">
      <c r="A53" s="54" t="s">
        <v>49</v>
      </c>
      <c r="B53" s="35">
        <f>TFam!Q52</f>
        <v>1882.6666666666667</v>
      </c>
      <c r="C53" s="35">
        <f>'Two-par'!Q52</f>
        <v>0</v>
      </c>
      <c r="D53" s="35">
        <f>'One-par'!Q52</f>
        <v>883.08333333333337</v>
      </c>
      <c r="E53" s="35">
        <f>'Zero-par'!Q52</f>
        <v>999.58333333333337</v>
      </c>
      <c r="F53" s="95"/>
      <c r="G53" s="96" t="s">
        <v>49</v>
      </c>
      <c r="H53" s="35">
        <f>TFam!R52</f>
        <v>1832.3333333333333</v>
      </c>
      <c r="I53" s="35">
        <f>'Two-par'!R52</f>
        <v>0</v>
      </c>
      <c r="J53" s="35">
        <f>'One-par'!R52</f>
        <v>857.41666666666663</v>
      </c>
      <c r="K53" s="35">
        <f>'Zero-par'!R52</f>
        <v>974.91666666666663</v>
      </c>
    </row>
    <row r="54" spans="1:20" s="17" customFormat="1" x14ac:dyDescent="0.2">
      <c r="A54" s="54" t="s">
        <v>50</v>
      </c>
      <c r="B54" s="35">
        <f>TFam!Q53</f>
        <v>1566.4166666666667</v>
      </c>
      <c r="C54" s="35">
        <f>'Two-par'!Q53</f>
        <v>173.41666666666666</v>
      </c>
      <c r="D54" s="35">
        <f>'One-par'!Q53</f>
        <v>490.91666666666669</v>
      </c>
      <c r="E54" s="35">
        <f>'Zero-par'!Q53</f>
        <v>902.08333333333337</v>
      </c>
      <c r="F54" s="95"/>
      <c r="G54" s="96" t="s">
        <v>50</v>
      </c>
      <c r="H54" s="35">
        <f>TFam!R53</f>
        <v>1519.5</v>
      </c>
      <c r="I54" s="35">
        <f>'Two-par'!R53</f>
        <v>167.33333333333334</v>
      </c>
      <c r="J54" s="35">
        <f>'One-par'!R53</f>
        <v>466.91666666666669</v>
      </c>
      <c r="K54" s="35">
        <f>'Zero-par'!R53</f>
        <v>885.25</v>
      </c>
    </row>
    <row r="55" spans="1:20" s="17" customFormat="1" x14ac:dyDescent="0.2">
      <c r="A55" s="54" t="s">
        <v>51</v>
      </c>
      <c r="B55" s="35">
        <f>TFam!Q54</f>
        <v>40.916666666666664</v>
      </c>
      <c r="C55" s="35">
        <f>'Two-par'!Q54</f>
        <v>0</v>
      </c>
      <c r="D55" s="35">
        <f>'One-par'!Q54</f>
        <v>32.916666666666664</v>
      </c>
      <c r="E55" s="35">
        <f>'Zero-par'!Q54</f>
        <v>8</v>
      </c>
      <c r="F55" s="95"/>
      <c r="G55" s="96" t="s">
        <v>51</v>
      </c>
      <c r="H55" s="35">
        <f>TFam!R54</f>
        <v>38.083333333333336</v>
      </c>
      <c r="I55" s="35">
        <f>'Two-par'!R54</f>
        <v>0</v>
      </c>
      <c r="J55" s="35">
        <f>'One-par'!R54</f>
        <v>31</v>
      </c>
      <c r="K55" s="35">
        <f>'Zero-par'!R54</f>
        <v>7.083333333333333</v>
      </c>
    </row>
    <row r="56" spans="1:20" s="17" customFormat="1" x14ac:dyDescent="0.2">
      <c r="A56" s="54" t="s">
        <v>52</v>
      </c>
      <c r="B56" s="35">
        <f>TFam!Q55</f>
        <v>11940.416666666666</v>
      </c>
      <c r="C56" s="35">
        <f>'Two-par'!Q55</f>
        <v>0</v>
      </c>
      <c r="D56" s="35">
        <f>'One-par'!Q55</f>
        <v>6106.166666666667</v>
      </c>
      <c r="E56" s="35">
        <f>'Zero-par'!Q55</f>
        <v>5834.25</v>
      </c>
      <c r="F56" s="95"/>
      <c r="G56" s="96" t="s">
        <v>52</v>
      </c>
      <c r="H56" s="35">
        <f>TFam!R55</f>
        <v>11465</v>
      </c>
      <c r="I56" s="35">
        <f>'Two-par'!R55</f>
        <v>0</v>
      </c>
      <c r="J56" s="35">
        <f>'One-par'!R55</f>
        <v>5769.333333333333</v>
      </c>
      <c r="K56" s="35">
        <f>'Zero-par'!R55</f>
        <v>5695.666666666667</v>
      </c>
    </row>
    <row r="57" spans="1:20" s="17" customFormat="1" x14ac:dyDescent="0.2">
      <c r="A57" s="54" t="s">
        <v>53</v>
      </c>
      <c r="B57" s="35">
        <f>TFam!Q56</f>
        <v>34433.083333333336</v>
      </c>
      <c r="C57" s="35">
        <f>'Two-par'!Q56</f>
        <v>4662.416666666667</v>
      </c>
      <c r="D57" s="35">
        <f>'One-par'!Q56</f>
        <v>19786.166666666668</v>
      </c>
      <c r="E57" s="35">
        <f>'Zero-par'!Q56</f>
        <v>9984.5</v>
      </c>
      <c r="F57" s="95"/>
      <c r="G57" s="96" t="s">
        <v>53</v>
      </c>
      <c r="H57" s="35">
        <f>TFam!R56</f>
        <v>33593.833333333336</v>
      </c>
      <c r="I57" s="35">
        <f>'Two-par'!R56</f>
        <v>4292.75</v>
      </c>
      <c r="J57" s="35">
        <f>'One-par'!R56</f>
        <v>19512.75</v>
      </c>
      <c r="K57" s="35">
        <f>'Zero-par'!R56</f>
        <v>9788.3333333333339</v>
      </c>
    </row>
    <row r="58" spans="1:20" s="17" customFormat="1" x14ac:dyDescent="0.2">
      <c r="A58" s="54" t="s">
        <v>54</v>
      </c>
      <c r="B58" s="35">
        <f>TFam!Q57</f>
        <v>4424.583333333333</v>
      </c>
      <c r="C58" s="35">
        <f>'Two-par'!Q57</f>
        <v>0</v>
      </c>
      <c r="D58" s="35">
        <f>'One-par'!Q57</f>
        <v>1117</v>
      </c>
      <c r="E58" s="35">
        <f>'Zero-par'!Q57</f>
        <v>3307.5833333333335</v>
      </c>
      <c r="F58" s="95"/>
      <c r="G58" s="96" t="s">
        <v>54</v>
      </c>
      <c r="H58" s="35">
        <f>TFam!R57</f>
        <v>4334.916666666667</v>
      </c>
      <c r="I58" s="35">
        <f>'Two-par'!R57</f>
        <v>0</v>
      </c>
      <c r="J58" s="35">
        <f>'One-par'!R57</f>
        <v>1089.4166666666667</v>
      </c>
      <c r="K58" s="35">
        <f>'Zero-par'!R57</f>
        <v>3245.5</v>
      </c>
    </row>
    <row r="59" spans="1:20" s="17" customFormat="1" x14ac:dyDescent="0.2">
      <c r="A59" s="54" t="s">
        <v>55</v>
      </c>
      <c r="B59" s="35">
        <f>TFam!Q58</f>
        <v>11169.333333333334</v>
      </c>
      <c r="C59" s="35">
        <f>'Two-par'!Q58</f>
        <v>77.333333333333329</v>
      </c>
      <c r="D59" s="35">
        <f>'One-par'!Q58</f>
        <v>3085</v>
      </c>
      <c r="E59" s="35">
        <f>'Zero-par'!Q58</f>
        <v>8007</v>
      </c>
      <c r="F59" s="95"/>
      <c r="G59" s="96" t="s">
        <v>55</v>
      </c>
      <c r="H59" s="35">
        <f>TFam!R58</f>
        <v>11081.833333333334</v>
      </c>
      <c r="I59" s="35">
        <f>'Two-par'!R58</f>
        <v>79</v>
      </c>
      <c r="J59" s="35">
        <f>'One-par'!R58</f>
        <v>3038.5833333333335</v>
      </c>
      <c r="K59" s="35">
        <f>'Zero-par'!R58</f>
        <v>7964.25</v>
      </c>
    </row>
    <row r="60" spans="1:20" s="17" customFormat="1" x14ac:dyDescent="0.2">
      <c r="A60" s="55" t="s">
        <v>56</v>
      </c>
      <c r="B60" s="38">
        <f>TFam!Q59</f>
        <v>462.91666666666669</v>
      </c>
      <c r="C60" s="38">
        <f>'Two-par'!Q59</f>
        <v>25.25</v>
      </c>
      <c r="D60" s="38">
        <f>'One-par'!Q59</f>
        <v>238.16666666666666</v>
      </c>
      <c r="E60" s="38">
        <f>'Zero-par'!Q59</f>
        <v>199.5</v>
      </c>
      <c r="F60" s="95"/>
      <c r="G60" s="97" t="s">
        <v>56</v>
      </c>
      <c r="H60" s="38">
        <f>TFam!R59</f>
        <v>454.08333333333331</v>
      </c>
      <c r="I60" s="38">
        <f>'Two-par'!R59</f>
        <v>25.583333333333332</v>
      </c>
      <c r="J60" s="38">
        <f>'One-par'!R59</f>
        <v>231.83333333333334</v>
      </c>
      <c r="K60" s="38">
        <f>'Zero-par'!R59</f>
        <v>196.66666666666666</v>
      </c>
    </row>
    <row r="61" spans="1:20" x14ac:dyDescent="0.2">
      <c r="A61" s="80">
        <f>TFam!$A$3</f>
        <v>46111</v>
      </c>
      <c r="B61" s="73"/>
      <c r="C61" s="73"/>
      <c r="D61" s="73"/>
      <c r="E61" s="73"/>
      <c r="F61" s="98"/>
      <c r="G61" s="99"/>
      <c r="H61" s="73"/>
      <c r="I61" s="73"/>
      <c r="J61" s="73"/>
      <c r="K61" s="73"/>
      <c r="L61" s="61"/>
      <c r="M61" s="61"/>
      <c r="N61" s="61"/>
      <c r="O61" s="61"/>
      <c r="P61" s="61"/>
      <c r="Q61" s="61"/>
      <c r="R61" s="61"/>
      <c r="S61" s="61"/>
      <c r="T61" s="61"/>
    </row>
    <row r="62" spans="1:20" x14ac:dyDescent="0.2">
      <c r="A62" s="74" t="s">
        <v>57</v>
      </c>
      <c r="B62" s="74"/>
      <c r="C62" s="74"/>
      <c r="D62" s="74"/>
      <c r="E62" s="74"/>
      <c r="F62" s="100"/>
      <c r="G62" s="100"/>
      <c r="H62" s="74"/>
      <c r="I62" s="74"/>
      <c r="J62" s="74"/>
      <c r="K62" s="74"/>
    </row>
    <row r="63" spans="1:20" x14ac:dyDescent="0.2">
      <c r="A63" s="74" t="s">
        <v>58</v>
      </c>
      <c r="B63" s="74"/>
      <c r="C63" s="74"/>
      <c r="D63" s="74"/>
      <c r="E63" s="74"/>
      <c r="F63" s="100"/>
      <c r="G63" s="100"/>
      <c r="H63" s="74"/>
      <c r="I63" s="74"/>
      <c r="J63" s="74"/>
      <c r="K63" s="74"/>
    </row>
    <row r="64" spans="1:20" x14ac:dyDescent="0.2">
      <c r="A64" s="74" t="s">
        <v>94</v>
      </c>
      <c r="B64" s="74"/>
      <c r="C64" s="74"/>
      <c r="D64" s="74"/>
      <c r="E64" s="74"/>
      <c r="F64" s="100"/>
      <c r="G64" s="100"/>
      <c r="H64" s="74"/>
      <c r="I64" s="74"/>
      <c r="J64" s="74"/>
      <c r="K64" s="74"/>
    </row>
    <row r="65" spans="1:11" x14ac:dyDescent="0.2">
      <c r="A65" s="74" t="s">
        <v>84</v>
      </c>
      <c r="B65" s="74"/>
      <c r="C65" s="74"/>
      <c r="D65" s="74"/>
      <c r="E65" s="74"/>
      <c r="F65" s="100"/>
      <c r="G65" s="100"/>
      <c r="H65" s="74"/>
      <c r="I65" s="74"/>
      <c r="J65" s="74"/>
      <c r="K65" s="74"/>
    </row>
    <row r="66" spans="1:11" ht="15" customHeight="1" x14ac:dyDescent="0.2">
      <c r="A66" s="74" t="s">
        <v>74</v>
      </c>
      <c r="B66" s="74"/>
      <c r="C66" s="74"/>
      <c r="D66" s="74"/>
      <c r="E66" s="74"/>
      <c r="F66" s="100"/>
      <c r="G66" s="100"/>
      <c r="H66" s="74"/>
      <c r="I66" s="74"/>
      <c r="J66" s="74"/>
      <c r="K66" s="74"/>
    </row>
    <row r="67" spans="1:11" x14ac:dyDescent="0.2">
      <c r="A67" s="62"/>
      <c r="B67" s="62"/>
      <c r="C67" s="62"/>
      <c r="D67" s="62"/>
      <c r="E67" s="62"/>
      <c r="G67" s="51"/>
      <c r="H67" s="62"/>
      <c r="I67" s="62"/>
      <c r="J67" s="62"/>
      <c r="K67" s="62"/>
    </row>
    <row r="68" spans="1:11" x14ac:dyDescent="0.2">
      <c r="B68" s="56"/>
      <c r="C68" s="56"/>
      <c r="D68" s="56"/>
      <c r="E68" s="56"/>
      <c r="F68" s="56"/>
      <c r="G68" s="100"/>
      <c r="H68" s="56"/>
      <c r="I68" s="56"/>
      <c r="J68" s="56"/>
      <c r="K68" s="56"/>
    </row>
    <row r="69" spans="1:11" x14ac:dyDescent="0.2">
      <c r="B69" s="56"/>
      <c r="C69" s="56"/>
      <c r="D69" s="56"/>
      <c r="E69" s="56"/>
      <c r="F69" s="56"/>
      <c r="H69" s="56"/>
      <c r="I69" s="56"/>
      <c r="J69" s="56"/>
      <c r="K69" s="56"/>
    </row>
    <row r="70" spans="1:11" x14ac:dyDescent="0.2">
      <c r="B70" s="56"/>
      <c r="C70" s="56"/>
      <c r="D70" s="56"/>
      <c r="E70" s="56"/>
      <c r="F70" s="56"/>
      <c r="H70" s="56"/>
      <c r="I70" s="56"/>
      <c r="J70" s="56"/>
      <c r="K70" s="56"/>
    </row>
    <row r="71" spans="1:11" x14ac:dyDescent="0.2">
      <c r="B71" s="56"/>
      <c r="C71" s="56"/>
      <c r="D71" s="56"/>
      <c r="E71" s="56"/>
      <c r="F71" s="56"/>
      <c r="H71" s="56"/>
      <c r="I71" s="56"/>
      <c r="J71" s="56"/>
      <c r="K71" s="56"/>
    </row>
    <row r="72" spans="1:11" x14ac:dyDescent="0.2">
      <c r="B72" s="56"/>
      <c r="C72" s="56"/>
      <c r="D72" s="56"/>
      <c r="E72" s="56"/>
      <c r="F72" s="56"/>
      <c r="H72" s="56"/>
      <c r="I72" s="56"/>
      <c r="J72" s="56"/>
      <c r="K72" s="56"/>
    </row>
    <row r="73" spans="1:11" x14ac:dyDescent="0.2">
      <c r="B73" s="56"/>
      <c r="C73" s="56"/>
      <c r="D73" s="56"/>
      <c r="E73" s="56"/>
      <c r="F73" s="56"/>
      <c r="H73" s="56"/>
      <c r="I73" s="56"/>
      <c r="J73" s="56"/>
      <c r="K73" s="56"/>
    </row>
    <row r="74" spans="1:11" x14ac:dyDescent="0.2">
      <c r="B74" s="56"/>
      <c r="C74" s="56"/>
      <c r="D74" s="56"/>
      <c r="E74" s="56"/>
      <c r="F74" s="56"/>
      <c r="H74" s="56"/>
      <c r="I74" s="56"/>
      <c r="J74" s="56"/>
      <c r="K74" s="56"/>
    </row>
    <row r="75" spans="1:11" x14ac:dyDescent="0.2">
      <c r="B75" s="56"/>
      <c r="C75" s="56"/>
      <c r="D75" s="56"/>
      <c r="E75" s="56"/>
      <c r="F75" s="56"/>
      <c r="H75" s="56"/>
      <c r="I75" s="56"/>
      <c r="J75" s="56"/>
      <c r="K75" s="56"/>
    </row>
    <row r="76" spans="1:11" x14ac:dyDescent="0.2">
      <c r="B76" s="56"/>
      <c r="C76" s="56"/>
      <c r="D76" s="56"/>
      <c r="E76" s="56"/>
      <c r="F76" s="56"/>
      <c r="H76" s="56"/>
      <c r="I76" s="56"/>
      <c r="J76" s="56"/>
      <c r="K76" s="56"/>
    </row>
    <row r="77" spans="1:11" x14ac:dyDescent="0.2">
      <c r="B77" s="56"/>
      <c r="C77" s="56"/>
      <c r="D77" s="56"/>
      <c r="E77" s="56"/>
      <c r="F77" s="56"/>
      <c r="H77" s="56"/>
      <c r="I77" s="56"/>
      <c r="J77" s="56"/>
      <c r="K77" s="56"/>
    </row>
    <row r="78" spans="1:11" x14ac:dyDescent="0.2">
      <c r="B78" s="56"/>
      <c r="C78" s="56"/>
      <c r="D78" s="56"/>
      <c r="E78" s="56"/>
      <c r="F78" s="56"/>
      <c r="H78" s="56"/>
      <c r="I78" s="56"/>
      <c r="J78" s="56"/>
      <c r="K78" s="56"/>
    </row>
    <row r="79" spans="1:11" x14ac:dyDescent="0.2">
      <c r="B79" s="56"/>
      <c r="C79" s="56"/>
      <c r="D79" s="56"/>
      <c r="E79" s="56"/>
      <c r="F79" s="56"/>
      <c r="H79" s="56"/>
      <c r="I79" s="56"/>
      <c r="J79" s="56"/>
      <c r="K79" s="56"/>
    </row>
    <row r="80" spans="1:11" x14ac:dyDescent="0.2">
      <c r="B80" s="56"/>
      <c r="C80" s="56"/>
      <c r="D80" s="56"/>
      <c r="E80" s="56"/>
      <c r="F80" s="56"/>
      <c r="H80" s="56"/>
      <c r="I80" s="56"/>
      <c r="J80" s="56"/>
      <c r="K80" s="56"/>
    </row>
    <row r="81" spans="1:11" x14ac:dyDescent="0.2">
      <c r="B81" s="56"/>
      <c r="C81" s="56"/>
      <c r="D81" s="56"/>
      <c r="E81" s="56"/>
      <c r="F81" s="56"/>
      <c r="H81" s="56"/>
      <c r="I81" s="56"/>
      <c r="J81" s="56"/>
      <c r="K81" s="56"/>
    </row>
    <row r="82" spans="1:11" x14ac:dyDescent="0.2">
      <c r="A82" s="51"/>
      <c r="B82" s="56"/>
      <c r="C82" s="56"/>
      <c r="D82" s="56"/>
      <c r="E82" s="56"/>
      <c r="F82" s="56"/>
      <c r="G82" s="51"/>
      <c r="H82" s="56"/>
      <c r="I82" s="56"/>
      <c r="J82" s="56"/>
      <c r="K82" s="56"/>
    </row>
    <row r="83" spans="1:11" x14ac:dyDescent="0.2">
      <c r="A83" s="51"/>
      <c r="B83" s="56"/>
      <c r="C83" s="56"/>
      <c r="D83" s="56"/>
      <c r="E83" s="56"/>
      <c r="F83" s="56"/>
      <c r="G83" s="51"/>
      <c r="H83" s="56"/>
      <c r="I83" s="56"/>
      <c r="J83" s="56"/>
      <c r="K83" s="56"/>
    </row>
    <row r="84" spans="1:11" x14ac:dyDescent="0.2">
      <c r="A84" s="51"/>
      <c r="B84" s="56"/>
      <c r="C84" s="56"/>
      <c r="D84" s="56"/>
      <c r="E84" s="56"/>
      <c r="F84" s="56"/>
      <c r="G84" s="51"/>
      <c r="H84" s="56"/>
      <c r="I84" s="56"/>
      <c r="J84" s="56"/>
      <c r="K84" s="56"/>
    </row>
    <row r="85" spans="1:11" x14ac:dyDescent="0.2">
      <c r="A85" s="51"/>
      <c r="B85" s="56"/>
      <c r="C85" s="56"/>
      <c r="D85" s="56"/>
      <c r="E85" s="56"/>
      <c r="F85" s="56"/>
      <c r="G85" s="51"/>
      <c r="H85" s="56"/>
      <c r="I85" s="56"/>
      <c r="J85" s="56"/>
      <c r="K85" s="56"/>
    </row>
    <row r="86" spans="1:11" x14ac:dyDescent="0.2">
      <c r="A86" s="51"/>
      <c r="B86" s="56"/>
      <c r="C86" s="56"/>
      <c r="D86" s="56"/>
      <c r="E86" s="56"/>
      <c r="F86" s="56"/>
      <c r="G86" s="51"/>
      <c r="H86" s="56"/>
      <c r="I86" s="56"/>
      <c r="J86" s="56"/>
      <c r="K86" s="56"/>
    </row>
    <row r="87" spans="1:11" x14ac:dyDescent="0.2">
      <c r="A87" s="51"/>
      <c r="B87" s="56"/>
      <c r="C87" s="56"/>
      <c r="D87" s="56"/>
      <c r="E87" s="56"/>
      <c r="F87" s="56"/>
      <c r="G87" s="51"/>
      <c r="H87" s="56"/>
      <c r="I87" s="56"/>
      <c r="J87" s="56"/>
      <c r="K87" s="56"/>
    </row>
    <row r="88" spans="1:11" x14ac:dyDescent="0.2">
      <c r="A88" s="51"/>
      <c r="B88" s="56"/>
      <c r="C88" s="56"/>
      <c r="D88" s="56"/>
      <c r="E88" s="56"/>
      <c r="F88" s="56"/>
      <c r="G88" s="51"/>
      <c r="H88" s="56"/>
      <c r="I88" s="56"/>
      <c r="J88" s="56"/>
      <c r="K88" s="56"/>
    </row>
    <row r="89" spans="1:11" x14ac:dyDescent="0.2">
      <c r="A89" s="51"/>
      <c r="B89" s="56"/>
      <c r="C89" s="56"/>
      <c r="D89" s="56"/>
      <c r="E89" s="56"/>
      <c r="F89" s="56"/>
      <c r="G89" s="51"/>
      <c r="H89" s="56"/>
      <c r="I89" s="56"/>
      <c r="J89" s="56"/>
      <c r="K89" s="56"/>
    </row>
    <row r="90" spans="1:11" x14ac:dyDescent="0.2">
      <c r="A90" s="51"/>
      <c r="B90" s="56"/>
      <c r="C90" s="56"/>
      <c r="D90" s="56"/>
      <c r="E90" s="56"/>
      <c r="F90" s="56"/>
      <c r="G90" s="51"/>
      <c r="H90" s="56"/>
      <c r="I90" s="56"/>
      <c r="J90" s="56"/>
      <c r="K90" s="56"/>
    </row>
    <row r="91" spans="1:11" x14ac:dyDescent="0.2">
      <c r="A91" s="51"/>
      <c r="B91" s="56"/>
      <c r="C91" s="56"/>
      <c r="D91" s="56"/>
      <c r="E91" s="56"/>
      <c r="F91" s="56"/>
      <c r="G91" s="51"/>
      <c r="H91" s="56"/>
      <c r="I91" s="56"/>
      <c r="J91" s="56"/>
      <c r="K91" s="56"/>
    </row>
    <row r="92" spans="1:11" x14ac:dyDescent="0.2">
      <c r="A92" s="51"/>
      <c r="B92" s="56"/>
      <c r="C92" s="56"/>
      <c r="D92" s="56"/>
      <c r="E92" s="56"/>
      <c r="F92" s="56"/>
      <c r="G92" s="51"/>
      <c r="H92" s="56"/>
      <c r="I92" s="56"/>
      <c r="J92" s="56"/>
      <c r="K92" s="56"/>
    </row>
    <row r="93" spans="1:11" x14ac:dyDescent="0.2">
      <c r="A93" s="51"/>
      <c r="B93" s="56"/>
      <c r="C93" s="56"/>
      <c r="D93" s="56"/>
      <c r="E93" s="56"/>
      <c r="F93" s="56"/>
      <c r="G93" s="51"/>
      <c r="H93" s="56"/>
      <c r="I93" s="56"/>
      <c r="J93" s="56"/>
      <c r="K93" s="56"/>
    </row>
    <row r="94" spans="1:11" x14ac:dyDescent="0.2">
      <c r="A94" s="51"/>
      <c r="B94" s="56"/>
      <c r="C94" s="56"/>
      <c r="D94" s="56"/>
      <c r="E94" s="56"/>
      <c r="F94" s="56"/>
      <c r="G94" s="51"/>
      <c r="H94" s="56"/>
      <c r="I94" s="56"/>
      <c r="J94" s="56"/>
      <c r="K94" s="56"/>
    </row>
    <row r="95" spans="1:11" x14ac:dyDescent="0.2">
      <c r="A95" s="51"/>
      <c r="B95" s="56"/>
      <c r="C95" s="56"/>
      <c r="D95" s="56"/>
      <c r="E95" s="56"/>
      <c r="F95" s="56"/>
      <c r="G95" s="51"/>
      <c r="H95" s="56"/>
      <c r="I95" s="56"/>
      <c r="J95" s="56"/>
      <c r="K95" s="56"/>
    </row>
    <row r="96" spans="1:11" x14ac:dyDescent="0.2">
      <c r="A96" s="51"/>
      <c r="B96" s="56"/>
      <c r="C96" s="56"/>
      <c r="D96" s="56"/>
      <c r="E96" s="56"/>
      <c r="F96" s="56"/>
      <c r="G96" s="51"/>
      <c r="H96" s="56"/>
      <c r="I96" s="56"/>
      <c r="J96" s="56"/>
      <c r="K96" s="56"/>
    </row>
    <row r="97" spans="1:11" x14ac:dyDescent="0.2">
      <c r="A97" s="51"/>
      <c r="B97" s="56"/>
      <c r="C97" s="56"/>
      <c r="D97" s="56"/>
      <c r="E97" s="56"/>
      <c r="F97" s="56"/>
      <c r="G97" s="51"/>
      <c r="H97" s="56"/>
      <c r="I97" s="56"/>
      <c r="J97" s="56"/>
      <c r="K97" s="56"/>
    </row>
    <row r="98" spans="1:11" x14ac:dyDescent="0.2">
      <c r="A98" s="51"/>
      <c r="B98" s="56"/>
      <c r="C98" s="56"/>
      <c r="D98" s="56"/>
      <c r="E98" s="56"/>
      <c r="F98" s="56"/>
      <c r="G98" s="51"/>
      <c r="H98" s="56"/>
      <c r="I98" s="56"/>
      <c r="J98" s="56"/>
      <c r="K98" s="56"/>
    </row>
    <row r="99" spans="1:11" x14ac:dyDescent="0.2">
      <c r="A99" s="51"/>
      <c r="B99" s="56"/>
      <c r="C99" s="56"/>
      <c r="D99" s="56"/>
      <c r="E99" s="56"/>
      <c r="F99" s="56"/>
      <c r="G99" s="51"/>
      <c r="H99" s="56"/>
      <c r="I99" s="56"/>
      <c r="J99" s="56"/>
      <c r="K99" s="56"/>
    </row>
    <row r="100" spans="1:11" x14ac:dyDescent="0.2">
      <c r="A100" s="51"/>
      <c r="B100" s="56"/>
      <c r="C100" s="56"/>
      <c r="D100" s="56"/>
      <c r="E100" s="56"/>
      <c r="F100" s="56"/>
      <c r="G100" s="51"/>
      <c r="H100" s="56"/>
      <c r="I100" s="56"/>
      <c r="J100" s="56"/>
      <c r="K100" s="56"/>
    </row>
    <row r="101" spans="1:11" x14ac:dyDescent="0.2">
      <c r="A101" s="51"/>
      <c r="B101" s="56"/>
      <c r="C101" s="56"/>
      <c r="D101" s="56"/>
      <c r="E101" s="56"/>
      <c r="F101" s="56"/>
      <c r="G101" s="51"/>
      <c r="H101" s="56"/>
      <c r="I101" s="56"/>
      <c r="J101" s="56"/>
      <c r="K101" s="56"/>
    </row>
    <row r="102" spans="1:11" x14ac:dyDescent="0.2">
      <c r="A102" s="51"/>
      <c r="B102" s="56"/>
      <c r="C102" s="56"/>
      <c r="D102" s="56"/>
      <c r="E102" s="56"/>
      <c r="F102" s="56"/>
      <c r="G102" s="51"/>
      <c r="H102" s="56"/>
      <c r="I102" s="56"/>
      <c r="J102" s="56"/>
      <c r="K102" s="56"/>
    </row>
    <row r="103" spans="1:11" x14ac:dyDescent="0.2">
      <c r="A103" s="51"/>
      <c r="B103" s="56"/>
      <c r="C103" s="56"/>
      <c r="D103" s="56"/>
      <c r="E103" s="56"/>
      <c r="F103" s="56"/>
      <c r="G103" s="51"/>
      <c r="H103" s="56"/>
      <c r="I103" s="56"/>
      <c r="J103" s="56"/>
      <c r="K103" s="56"/>
    </row>
    <row r="104" spans="1:11" x14ac:dyDescent="0.2">
      <c r="A104" s="51"/>
      <c r="B104" s="56"/>
      <c r="C104" s="56"/>
      <c r="D104" s="56"/>
      <c r="E104" s="56"/>
      <c r="F104" s="56"/>
      <c r="G104" s="51"/>
      <c r="H104" s="56"/>
      <c r="I104" s="56"/>
      <c r="J104" s="56"/>
      <c r="K104" s="56"/>
    </row>
    <row r="105" spans="1:11" x14ac:dyDescent="0.2">
      <c r="A105" s="51"/>
      <c r="B105" s="56"/>
      <c r="C105" s="56"/>
      <c r="D105" s="56"/>
      <c r="E105" s="56"/>
      <c r="F105" s="56"/>
      <c r="G105" s="51"/>
      <c r="H105" s="56"/>
      <c r="I105" s="56"/>
      <c r="J105" s="56"/>
      <c r="K105" s="56"/>
    </row>
    <row r="106" spans="1:11" x14ac:dyDescent="0.2">
      <c r="A106" s="51"/>
      <c r="B106" s="56"/>
      <c r="C106" s="56"/>
      <c r="D106" s="56"/>
      <c r="E106" s="56"/>
      <c r="F106" s="56"/>
      <c r="G106" s="51"/>
      <c r="H106" s="56"/>
      <c r="I106" s="56"/>
      <c r="J106" s="56"/>
      <c r="K106" s="56"/>
    </row>
    <row r="107" spans="1:11" x14ac:dyDescent="0.2">
      <c r="A107" s="51"/>
      <c r="B107" s="56"/>
      <c r="C107" s="56"/>
      <c r="D107" s="56"/>
      <c r="E107" s="56"/>
      <c r="F107" s="56"/>
      <c r="G107" s="51"/>
      <c r="H107" s="56"/>
      <c r="I107" s="56"/>
      <c r="J107" s="56"/>
      <c r="K107" s="56"/>
    </row>
    <row r="108" spans="1:11" x14ac:dyDescent="0.2">
      <c r="A108" s="51"/>
      <c r="B108" s="56"/>
      <c r="C108" s="56"/>
      <c r="D108" s="56"/>
      <c r="E108" s="56"/>
      <c r="F108" s="56"/>
      <c r="G108" s="51"/>
      <c r="H108" s="56"/>
      <c r="I108" s="56"/>
      <c r="J108" s="56"/>
      <c r="K108" s="56"/>
    </row>
    <row r="109" spans="1:11" x14ac:dyDescent="0.2">
      <c r="A109" s="51"/>
      <c r="B109" s="56"/>
      <c r="C109" s="56"/>
      <c r="D109" s="56"/>
      <c r="E109" s="56"/>
      <c r="F109" s="56"/>
      <c r="G109" s="51"/>
      <c r="H109" s="56"/>
      <c r="I109" s="56"/>
      <c r="J109" s="56"/>
      <c r="K109" s="56"/>
    </row>
    <row r="110" spans="1:11" x14ac:dyDescent="0.2">
      <c r="A110" s="51"/>
      <c r="B110" s="56"/>
      <c r="C110" s="56"/>
      <c r="D110" s="56"/>
      <c r="E110" s="56"/>
      <c r="F110" s="56"/>
      <c r="G110" s="51"/>
      <c r="H110" s="56"/>
      <c r="I110" s="56"/>
      <c r="J110" s="56"/>
      <c r="K110" s="56"/>
    </row>
    <row r="111" spans="1:11" x14ac:dyDescent="0.2">
      <c r="A111" s="51"/>
      <c r="B111" s="56"/>
      <c r="C111" s="56"/>
      <c r="D111" s="56"/>
      <c r="E111" s="56"/>
      <c r="F111" s="56"/>
      <c r="G111" s="51"/>
      <c r="H111" s="56"/>
      <c r="I111" s="56"/>
      <c r="J111" s="56"/>
      <c r="K111" s="56"/>
    </row>
    <row r="112" spans="1:11" x14ac:dyDescent="0.2">
      <c r="A112" s="51"/>
      <c r="B112" s="56"/>
      <c r="C112" s="56"/>
      <c r="D112" s="56"/>
      <c r="E112" s="56"/>
      <c r="F112" s="56"/>
      <c r="G112" s="51"/>
      <c r="H112" s="56"/>
      <c r="I112" s="56"/>
      <c r="J112" s="56"/>
      <c r="K112" s="56"/>
    </row>
    <row r="113" spans="1:11" x14ac:dyDescent="0.2">
      <c r="A113" s="51"/>
      <c r="B113" s="56"/>
      <c r="C113" s="56"/>
      <c r="D113" s="56"/>
      <c r="E113" s="56"/>
      <c r="F113" s="56"/>
      <c r="G113" s="51"/>
      <c r="H113" s="56"/>
      <c r="I113" s="56"/>
      <c r="J113" s="56"/>
      <c r="K113" s="56"/>
    </row>
    <row r="114" spans="1:11" x14ac:dyDescent="0.2">
      <c r="A114" s="51"/>
      <c r="B114" s="56"/>
      <c r="C114" s="56"/>
      <c r="D114" s="56"/>
      <c r="E114" s="56"/>
      <c r="F114" s="56"/>
      <c r="G114" s="51"/>
      <c r="H114" s="56"/>
      <c r="I114" s="56"/>
      <c r="J114" s="56"/>
      <c r="K114" s="56"/>
    </row>
    <row r="115" spans="1:11" x14ac:dyDescent="0.2">
      <c r="A115" s="51"/>
      <c r="B115" s="56"/>
      <c r="C115" s="56"/>
      <c r="D115" s="56"/>
      <c r="E115" s="56"/>
      <c r="F115" s="56"/>
      <c r="G115" s="51"/>
      <c r="H115" s="56"/>
      <c r="I115" s="56"/>
      <c r="J115" s="56"/>
      <c r="K115" s="56"/>
    </row>
    <row r="116" spans="1:11" x14ac:dyDescent="0.2">
      <c r="A116" s="51"/>
      <c r="B116" s="56"/>
      <c r="C116" s="56"/>
      <c r="D116" s="56"/>
      <c r="E116" s="56"/>
      <c r="F116" s="56"/>
      <c r="G116" s="51"/>
      <c r="H116" s="56"/>
      <c r="I116" s="56"/>
      <c r="J116" s="56"/>
      <c r="K116" s="56"/>
    </row>
    <row r="117" spans="1:11" x14ac:dyDescent="0.2">
      <c r="A117" s="51"/>
      <c r="B117" s="56"/>
      <c r="C117" s="56"/>
      <c r="D117" s="56"/>
      <c r="E117" s="56"/>
      <c r="F117" s="56"/>
      <c r="G117" s="51"/>
      <c r="H117" s="56"/>
      <c r="I117" s="56"/>
      <c r="J117" s="56"/>
      <c r="K117" s="56"/>
    </row>
    <row r="118" spans="1:11" x14ac:dyDescent="0.2">
      <c r="A118" s="51"/>
      <c r="B118" s="56"/>
      <c r="C118" s="56"/>
      <c r="D118" s="56"/>
      <c r="E118" s="56"/>
      <c r="F118" s="56"/>
      <c r="G118" s="51"/>
      <c r="H118" s="56"/>
      <c r="I118" s="56"/>
      <c r="J118" s="56"/>
      <c r="K118" s="56"/>
    </row>
    <row r="119" spans="1:11" x14ac:dyDescent="0.2">
      <c r="A119" s="51"/>
      <c r="B119" s="56"/>
      <c r="C119" s="56"/>
      <c r="D119" s="56"/>
      <c r="E119" s="56"/>
      <c r="F119" s="56"/>
      <c r="G119" s="51"/>
      <c r="H119" s="56"/>
      <c r="I119" s="56"/>
      <c r="J119" s="56"/>
      <c r="K119" s="56"/>
    </row>
    <row r="120" spans="1:11" x14ac:dyDescent="0.2">
      <c r="A120" s="51"/>
      <c r="B120" s="56"/>
      <c r="C120" s="56"/>
      <c r="D120" s="56"/>
      <c r="E120" s="56"/>
      <c r="F120" s="56"/>
      <c r="G120" s="51"/>
      <c r="H120" s="56"/>
      <c r="I120" s="56"/>
      <c r="J120" s="56"/>
      <c r="K120" s="56"/>
    </row>
    <row r="121" spans="1:11" x14ac:dyDescent="0.2">
      <c r="A121" s="51"/>
      <c r="B121" s="56"/>
      <c r="C121" s="56"/>
      <c r="D121" s="56"/>
      <c r="E121" s="56"/>
      <c r="F121" s="56"/>
      <c r="G121" s="51"/>
      <c r="H121" s="56"/>
      <c r="I121" s="56"/>
      <c r="J121" s="56"/>
      <c r="K121" s="56"/>
    </row>
    <row r="122" spans="1:11" x14ac:dyDescent="0.2">
      <c r="A122" s="51"/>
      <c r="B122" s="56"/>
      <c r="C122" s="56"/>
      <c r="D122" s="56"/>
      <c r="E122" s="56"/>
      <c r="F122" s="56"/>
      <c r="G122" s="51"/>
      <c r="H122" s="56"/>
      <c r="I122" s="56"/>
      <c r="J122" s="56"/>
      <c r="K122" s="56"/>
    </row>
    <row r="123" spans="1:11" x14ac:dyDescent="0.2">
      <c r="A123" s="51"/>
      <c r="B123" s="56"/>
      <c r="C123" s="56"/>
      <c r="D123" s="56"/>
      <c r="E123" s="56"/>
      <c r="F123" s="56"/>
      <c r="G123" s="51"/>
      <c r="H123" s="56"/>
      <c r="I123" s="56"/>
      <c r="J123" s="56"/>
      <c r="K123" s="56"/>
    </row>
    <row r="124" spans="1:11" x14ac:dyDescent="0.2">
      <c r="A124" s="51"/>
      <c r="B124" s="56"/>
      <c r="C124" s="56"/>
      <c r="D124" s="56"/>
      <c r="E124" s="56"/>
      <c r="F124" s="56"/>
      <c r="G124" s="51"/>
      <c r="H124" s="56"/>
      <c r="I124" s="56"/>
      <c r="J124" s="56"/>
      <c r="K124" s="56"/>
    </row>
    <row r="125" spans="1:11" x14ac:dyDescent="0.2">
      <c r="A125" s="51"/>
      <c r="B125" s="56"/>
      <c r="C125" s="56"/>
      <c r="D125" s="56"/>
      <c r="E125" s="56"/>
      <c r="F125" s="56"/>
      <c r="G125" s="51"/>
      <c r="H125" s="56"/>
      <c r="I125" s="56"/>
      <c r="J125" s="56"/>
      <c r="K125" s="56"/>
    </row>
    <row r="126" spans="1:11" x14ac:dyDescent="0.2">
      <c r="A126" s="51"/>
      <c r="B126" s="56"/>
      <c r="C126" s="56"/>
      <c r="D126" s="56"/>
      <c r="E126" s="56"/>
      <c r="F126" s="56"/>
      <c r="G126" s="51"/>
      <c r="H126" s="56"/>
      <c r="I126" s="56"/>
      <c r="J126" s="56"/>
      <c r="K126" s="56"/>
    </row>
    <row r="127" spans="1:11" x14ac:dyDescent="0.2">
      <c r="A127" s="51"/>
      <c r="B127" s="56"/>
      <c r="C127" s="56"/>
      <c r="D127" s="56"/>
      <c r="E127" s="56"/>
      <c r="F127" s="56"/>
      <c r="G127" s="51"/>
      <c r="H127" s="56"/>
      <c r="I127" s="56"/>
      <c r="J127" s="56"/>
      <c r="K127" s="56"/>
    </row>
    <row r="128" spans="1:11" x14ac:dyDescent="0.2">
      <c r="A128" s="51"/>
      <c r="B128" s="56"/>
      <c r="C128" s="56"/>
      <c r="D128" s="56"/>
      <c r="E128" s="56"/>
      <c r="F128" s="56"/>
      <c r="G128" s="51"/>
      <c r="H128" s="56"/>
      <c r="I128" s="56"/>
      <c r="J128" s="56"/>
      <c r="K128" s="56"/>
    </row>
  </sheetData>
  <mergeCells count="2">
    <mergeCell ref="B4:E4"/>
    <mergeCell ref="H4:K4"/>
  </mergeCells>
  <pageMargins left="0.7" right="0.7" top="0.75" bottom="0.75" header="0.3" footer="0.3"/>
  <pageSetup scale="7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e301e7ed-3d1a-4b1f-91c2-122a52aaf74c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2C021DCE56A64F805BFA31C3621A54" ma:contentTypeVersion="17" ma:contentTypeDescription="Create a new document." ma:contentTypeScope="" ma:versionID="6067d131e48db862a52c29146dbd344f">
  <xsd:schema xmlns:xsd="http://www.w3.org/2001/XMLSchema" xmlns:xs="http://www.w3.org/2001/XMLSchema" xmlns:p="http://schemas.microsoft.com/office/2006/metadata/properties" xmlns:ns1="http://schemas.microsoft.com/sharepoint/v3" xmlns:ns3="a8b7cd30-d77e-4993-8fd1-0e48b56894b3" xmlns:ns4="e301e7ed-3d1a-4b1f-91c2-122a52aaf74c" targetNamespace="http://schemas.microsoft.com/office/2006/metadata/properties" ma:root="true" ma:fieldsID="886aec9e6fde258204b7ce8dc6fe11df" ns1:_="" ns3:_="" ns4:_="">
    <xsd:import namespace="http://schemas.microsoft.com/sharepoint/v3"/>
    <xsd:import namespace="a8b7cd30-d77e-4993-8fd1-0e48b56894b3"/>
    <xsd:import namespace="e301e7ed-3d1a-4b1f-91c2-122a52aaf74c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7cd30-d77e-4993-8fd1-0e48b56894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1e7ed-3d1a-4b1f-91c2-122a52aaf7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8DFD8-A50A-4C1E-8FD7-3A58DA027EF1}">
  <ds:schemaRefs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dcmitype/"/>
    <ds:schemaRef ds:uri="a8b7cd30-d77e-4993-8fd1-0e48b56894b3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e301e7ed-3d1a-4b1f-91c2-122a52aaf74c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F945496-34C7-4A76-85C1-84BD13068A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4A53B2-6DC7-47BD-AAD1-80CCEE88A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b7cd30-d77e-4993-8fd1-0e48b56894b3"/>
    <ds:schemaRef ds:uri="e301e7ed-3d1a-4b1f-91c2-122a52aaf7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58addea-5053-4a80-8499-ba4d944910df}" enabled="0" method="" siteId="{d58addea-5053-4a80-8499-ba4d944910df}" removed="1"/>
</clbl:labelLis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FY2025 TANF Caseload Data</dc:title>
  <dc:creator>OFA</dc:creator>
  <cp:lastModifiedBy>Arias, Caroline (ACF)</cp:lastModifiedBy>
  <dcterms:created xsi:type="dcterms:W3CDTF">2017-03-13T13:51:16Z</dcterms:created>
  <dcterms:modified xsi:type="dcterms:W3CDTF">2026-05-07T12:35:58Z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0x010100C32C021DCE56A64F805BFA31C3621A54</vt:lpwstr>
  </property>
</Properties>
</file>