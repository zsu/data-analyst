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7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autoCompressPictures="0"/>
  <mc:AlternateContent xmlns:mc="http://schemas.openxmlformats.org/markup-compatibility/2006">
    <mc:Choice Requires="x15">
      <x15ac:absPath xmlns:x15ac="http://schemas.microsoft.com/office/spreadsheetml/2010/11/ac" url="T:\TANFDATA\TANF Financial Data\FY 2024 Financial Data\508 Compliant\"/>
    </mc:Choice>
  </mc:AlternateContent>
  <xr:revisionPtr revIDLastSave="0" documentId="13_ncr:1_{AD87C440-BF0C-4FFB-A835-C6C59676D2C9}" xr6:coauthVersionLast="47" xr6:coauthVersionMax="47" xr10:uidLastSave="{00000000-0000-0000-0000-000000000000}"/>
  <bookViews>
    <workbookView xWindow="-120" yWindow="-120" windowWidth="29040" windowHeight="15720" tabRatio="889" xr2:uid="{00000000-000D-0000-FFFF-FFFF00000000}"/>
  </bookViews>
  <sheets>
    <sheet name="A.1 Fed &amp; State by Category" sheetId="268" r:id="rId3"/>
    <sheet name="A.5 FY24 Federal TANF Funds" sheetId="178" r:id="rId7"/>
    <sheet name="B. Total Expenditures" sheetId="182" r:id="rId9"/>
    <sheet name="DC" sheetId="196" r:id="rId22"/>
    <sheet name="F. Appendix" sheetId="271" r:id="rId70"/>
  </sheets>
  <externalReferences>
    <externalReference r:id="rId71"/>
    <externalReference r:id="rId7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<sst xmlns="http://schemas.openxmlformats.org/spreadsheetml/2006/main" count="3873" uniqueCount="372">
  <si>
    <t>FY 2024 Federal TANF &amp; State MOE Financial Data | Table of Contents</t>
  </si>
  <si>
    <t>Reader's Guide</t>
  </si>
  <si>
    <t>A</t>
  </si>
  <si>
    <t>FY 2024 Overview Tables</t>
  </si>
  <si>
    <t>A.1</t>
  </si>
  <si>
    <t>Federal TANF and State MOE Expenditures Summary by ACF-196R Spending Category, FY 2024</t>
  </si>
  <si>
    <t>A.2</t>
  </si>
  <si>
    <t>Federal TANF and State MOE Expenditures by ACF-196R Spending Category: Comparisons between FY 2023 and FY 2024</t>
  </si>
  <si>
    <t xml:space="preserve"> </t>
  </si>
  <si>
    <t>A.3</t>
  </si>
  <si>
    <t>Use of Federal TANF and State MOE Funds by Activity: Comparisons between FY 2023 and FY 2024</t>
  </si>
  <si>
    <t>A.4</t>
  </si>
  <si>
    <t>Comparisons of MOE Spending between FY 2023 and FY 2024</t>
  </si>
  <si>
    <t>A.5</t>
  </si>
  <si>
    <t>Breakdown of Total TANF Federal Funds Available in FY 2024</t>
  </si>
  <si>
    <t>A.6</t>
  </si>
  <si>
    <t>Summary of Federal TANF Funds, FY 2024</t>
  </si>
  <si>
    <t>B</t>
  </si>
  <si>
    <t>Total Federal TANF and State MOE Expenditures in FY 2024</t>
  </si>
  <si>
    <t>C</t>
  </si>
  <si>
    <t>FY 2024 Expenditures by Federal TANF and State MOE Funds</t>
  </si>
  <si>
    <t>C.1</t>
  </si>
  <si>
    <t>Federal TANF Expenditures in FY 2024</t>
  </si>
  <si>
    <t>C.2</t>
  </si>
  <si>
    <t>State MOE Expenditures in FY 2024</t>
  </si>
  <si>
    <t>C.3</t>
  </si>
  <si>
    <t>Analysis of State MOE Spending Levels in FY 2024</t>
  </si>
  <si>
    <t>D</t>
  </si>
  <si>
    <t>State Tables - Table of Contents</t>
  </si>
  <si>
    <t>E</t>
  </si>
  <si>
    <t>FY 2024 Expenditures by Funding Stream</t>
  </si>
  <si>
    <t>E.1</t>
  </si>
  <si>
    <t>FY 2024 Federal TANF and State MOE Expenditures Summary by Funding Stream, by State</t>
  </si>
  <si>
    <t>E.2</t>
  </si>
  <si>
    <t>Expenditures using State Family Assistance Grant (SFAG) Funds, FY 2024</t>
  </si>
  <si>
    <t>E.3</t>
  </si>
  <si>
    <t>Expenditures using MOE in TANF, FY 2024</t>
  </si>
  <si>
    <t>E.4</t>
  </si>
  <si>
    <t>Expenditures using MOE in Separate State Programs, FY 2024</t>
  </si>
  <si>
    <t>E.5</t>
  </si>
  <si>
    <t>Expenditures using Contingency Funds, FY 2024</t>
  </si>
  <si>
    <t>F</t>
  </si>
  <si>
    <t>Appendix: Transitional Services for Employed and Job Access Expenditures in FY 2024</t>
  </si>
  <si>
    <t>Note: The reported FY 2024 financial data is current as of November 21, 2025.</t>
  </si>
  <si>
    <t>A.1.: Federal TANF and State MOE Expenditures Summary by ACF-196R Spending Category, FY 2024</t>
  </si>
  <si>
    <t>Spending Category</t>
  </si>
  <si>
    <t>Federal Funds</t>
  </si>
  <si>
    <t>State MOE in TANF and Separate State Programs</t>
  </si>
  <si>
    <t>All Funds</t>
  </si>
  <si>
    <t>Percent of Total Funds Used</t>
  </si>
  <si>
    <t>Basic Assistance</t>
  </si>
  <si>
    <t>Basic Assistance (excluding Relative Foster Care Maintenance Payments and Adoption and Guardianship Subsidies)</t>
  </si>
  <si>
    <t>Relative Foster Care Maintenance Payments and Adoption and Guardianship Subsidies</t>
  </si>
  <si>
    <t>Assistance Authorized Solely Under Prior Law</t>
  </si>
  <si>
    <t>Foster Care Payments</t>
  </si>
  <si>
    <t>Juvenile Justice Payments</t>
  </si>
  <si>
    <t>Emergency Assistance Authorized Solely Under Prior Law</t>
  </si>
  <si>
    <t>Non-Assistance Authorized Solely Under Prior Law</t>
  </si>
  <si>
    <t>Child Welfare or Foster Care Services</t>
  </si>
  <si>
    <t>Juvenile Justice Services</t>
  </si>
  <si>
    <t>Emergency Services Authorized Solely Under Prior Law</t>
  </si>
  <si>
    <t>Work, Education, and Training Activities</t>
  </si>
  <si>
    <t>Subsidized Employment</t>
  </si>
  <si>
    <t>Education and Training</t>
  </si>
  <si>
    <t>Additional Work Activities</t>
  </si>
  <si>
    <t>Work Supports</t>
  </si>
  <si>
    <t>Early Care and Education</t>
  </si>
  <si>
    <t>Child Care (Assistance and Non-Assistance)</t>
  </si>
  <si>
    <t>Pre-Kindergarten/Head Start</t>
  </si>
  <si>
    <t>Financial Education and Asset Development</t>
  </si>
  <si>
    <t>Refundable Earned Income Tax Credits</t>
  </si>
  <si>
    <t>Non-EITC Refundable State Tax Credits</t>
  </si>
  <si>
    <t>Non-Recurrent Short Term Benefits</t>
  </si>
  <si>
    <t>Supportive Services</t>
  </si>
  <si>
    <t>Services for Children and Youth</t>
  </si>
  <si>
    <t>Prevention of Out-of-Wedlock Pregnancies</t>
  </si>
  <si>
    <t>Fatherhood and Two-Parent Family Formation and Maintenance Programs</t>
  </si>
  <si>
    <t>Child Welfare Services</t>
  </si>
  <si>
    <t>Family Support/Family Preservation /Reunification Services</t>
  </si>
  <si>
    <t>Adoption Services</t>
  </si>
  <si>
    <t>Additional Child Welfare Services</t>
  </si>
  <si>
    <t>Home Visiting Programs</t>
  </si>
  <si>
    <t>Program Management</t>
  </si>
  <si>
    <t>Administrative Costs</t>
  </si>
  <si>
    <t>Assessment/Service Provision</t>
  </si>
  <si>
    <t>Systems</t>
  </si>
  <si>
    <t>Other</t>
  </si>
  <si>
    <t>TOTAL EXPENDITURES</t>
  </si>
  <si>
    <t>Transferred to CCDF Discretionary</t>
  </si>
  <si>
    <t>Transferred to SSBG</t>
  </si>
  <si>
    <t>Total Transfers</t>
  </si>
  <si>
    <t>TOTAL FUNDS USED</t>
  </si>
  <si>
    <t>Federal Unliquidated Obligations</t>
  </si>
  <si>
    <t>Unobligated Balance</t>
  </si>
  <si>
    <t>A.2.: Federal TANF and State MOE Expenditures by ACF-196R Spending Category:  Comparisons between FY 2023 and FY 2024</t>
  </si>
  <si>
    <r>
      <rPr>
        <b/>
        <sz val="11"/>
        <color rgb="FF000000"/>
        <rFont val="Arial"/>
        <family val="2"/>
      </rPr>
      <t>Federal Funds</t>
    </r>
    <r>
      <rPr>
        <sz val="11"/>
        <color rgb="FF000000"/>
        <rFont val="Arial"/>
        <family val="2"/>
      </rPr>
      <t xml:space="preserve">
FY 2023</t>
    </r>
  </si>
  <si>
    <r>
      <rPr>
        <b/>
        <sz val="11"/>
        <color rgb="FF000000"/>
        <rFont val="Arial"/>
        <family val="2"/>
      </rPr>
      <t>Federal Funds</t>
    </r>
    <r>
      <rPr>
        <sz val="11"/>
        <color rgb="FF000000"/>
        <rFont val="Arial"/>
        <family val="2"/>
      </rPr>
      <t xml:space="preserve">
FY 2024</t>
    </r>
  </si>
  <si>
    <r>
      <rPr>
        <b/>
        <sz val="11"/>
        <color rgb="FF000000"/>
        <rFont val="Arial"/>
        <family val="2"/>
      </rPr>
      <t>State MOE in TANF and Separate State Programs</t>
    </r>
    <r>
      <rPr>
        <sz val="11"/>
        <color rgb="FF000000"/>
        <rFont val="Arial"/>
        <family val="2"/>
      </rPr>
      <t xml:space="preserve">
FY 2023</t>
    </r>
  </si>
  <si>
    <r>
      <rPr>
        <b/>
        <sz val="11"/>
        <color rgb="FF000000"/>
        <rFont val="Arial"/>
        <family val="2"/>
      </rPr>
      <t>State MOE in TANF and Separate State Programs</t>
    </r>
    <r>
      <rPr>
        <sz val="11"/>
        <color rgb="FF000000"/>
        <rFont val="Arial"/>
        <family val="2"/>
      </rPr>
      <t xml:space="preserve">
FY 2024</t>
    </r>
  </si>
  <si>
    <r>
      <rPr>
        <b/>
        <sz val="11"/>
        <color rgb="FF000000"/>
        <rFont val="Arial"/>
        <family val="2"/>
      </rPr>
      <t>All Funds</t>
    </r>
    <r>
      <rPr>
        <sz val="11"/>
        <color rgb="FF000000"/>
        <rFont val="Arial"/>
        <family val="2"/>
      </rPr>
      <t xml:space="preserve">
FY 2023</t>
    </r>
  </si>
  <si>
    <r>
      <rPr>
        <b/>
        <sz val="11"/>
        <color rgb="FF000000"/>
        <rFont val="Arial"/>
        <family val="2"/>
      </rPr>
      <t>All Funds</t>
    </r>
    <r>
      <rPr>
        <sz val="11"/>
        <color rgb="FF000000"/>
        <rFont val="Arial"/>
        <family val="2"/>
      </rPr>
      <t xml:space="preserve">
FY 2024</t>
    </r>
  </si>
  <si>
    <r>
      <rPr>
        <b/>
        <sz val="11"/>
        <color rgb="FF000000"/>
        <rFont val="Arial"/>
        <family val="2"/>
      </rPr>
      <t xml:space="preserve">All Funds as a 
Percent of Total Funds Used
</t>
    </r>
    <r>
      <rPr>
        <sz val="11"/>
        <color rgb="FF000000"/>
        <rFont val="Arial"/>
        <family val="2"/>
      </rPr>
      <t>FY 2023</t>
    </r>
  </si>
  <si>
    <r>
      <rPr>
        <b/>
        <sz val="11"/>
        <color rgb="FF000000"/>
        <rFont val="Arial"/>
        <family val="2"/>
      </rPr>
      <t xml:space="preserve">All Funds as a 
Percent of Total Funds Used
</t>
    </r>
    <r>
      <rPr>
        <sz val="11"/>
        <color rgb="FF000000"/>
        <rFont val="Arial"/>
        <family val="2"/>
      </rPr>
      <t>FY 2024</t>
    </r>
  </si>
  <si>
    <t>Note: FY 2023 amounts represent what was reported as of September 10, 2024.</t>
  </si>
  <si>
    <t>A.3.: Use of Federal TANF and State MOE Funds by Activity: Comparisons between FY 2023 and FY 2024</t>
  </si>
  <si>
    <t>FY 2023</t>
  </si>
  <si>
    <t>FY 2024</t>
  </si>
  <si>
    <t>Change in Amount</t>
  </si>
  <si>
    <t>Percentage Change</t>
  </si>
  <si>
    <t>A.4.: Comparisons of MOE Spending between FY 2023 and FY 2024</t>
  </si>
  <si>
    <t>STATE</t>
  </si>
  <si>
    <t>FY 2023 Total MOE</t>
  </si>
  <si>
    <t>FY 2024 Total MOE</t>
  </si>
  <si>
    <t>Change in Total MOE</t>
  </si>
  <si>
    <t>U.S. TOTAL</t>
  </si>
  <si>
    <t>ALABAMA</t>
  </si>
  <si>
    <t>ALASKA</t>
  </si>
  <si>
    <t>ARIZONA</t>
  </si>
  <si>
    <t>ARKANSAS</t>
  </si>
  <si>
    <t>CALIFORNIA</t>
  </si>
  <si>
    <t>COLORADO</t>
  </si>
  <si>
    <t>CONNECTICUT</t>
  </si>
  <si>
    <t>DELAWARE</t>
  </si>
  <si>
    <t>DIST.OF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</si>
  <si>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</si>
  <si>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</si>
  <si>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</si>
  <si>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</si>
  <si>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</si>
  <si>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</si>
  <si>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</si>
  <si>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</si>
  <si>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</si>
  <si>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</si>
  <si>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</si>
  <si>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</si>
  <si>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</si>
  <si>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</si>
  <si>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</si>
  <si>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</si>
  <si>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</si>
  <si>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</si>
  <si>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</si>
  <si>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</si>
  <si>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</si>
  <si>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</si>
  <si>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</si>
  <si>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</si>
  <si>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</si>
  <si>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</si>
  <si>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</si>
  <si>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</si>
  <si>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</si>
  <si>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</si>
  <si>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</si>
  <si>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</si>
  <si>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</si>
  <si>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</si>
  <si>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</si>
  <si>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</si>
  <si>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</si>
  <si>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</si>
  <si>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</si>
  <si>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</si>
  <si>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</si>
  <si>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</si>
  <si>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A.5.: Breakdown of Total Federal TANF Funds Available in FY 2024</t>
  </si>
  <si>
    <t>FY 2024 Federal TANF Funds</t>
  </si>
  <si>
    <t>State Family Assistance Grant</t>
  </si>
  <si>
    <t>Contingency Funds</t>
  </si>
  <si>
    <t>Total FY 2024 Federal Awards</t>
  </si>
  <si>
    <t>Carryover from Prior Years</t>
  </si>
  <si>
    <t xml:space="preserve">Total Funds Available </t>
  </si>
  <si>
    <t>A.6.: Summary of Federal TANF Funds, FY 2024</t>
  </si>
  <si>
    <r>
      <rPr>
        <b/>
        <sz val="7.5"/>
        <color rgb="FF000000"/>
        <rFont val="Arial"/>
        <family val="2"/>
      </rPr>
      <t xml:space="preserve">FY 2024
FEDERAL AWARDS
</t>
    </r>
    <r>
      <rPr>
        <sz val="7.5"/>
        <color rgb="FF000000"/>
        <rFont val="Arial"/>
        <family val="2"/>
      </rPr>
      <t>State Family Assistance Grants + Contingency Funds</t>
    </r>
  </si>
  <si>
    <r>
      <rPr>
        <b/>
        <sz val="7.5"/>
        <rFont val="Arial"/>
        <family val="2"/>
      </rPr>
      <t xml:space="preserve">CARRYOVER 
FROM PREVIOUS FISCAL YEARS 
</t>
    </r>
    <r>
      <rPr>
        <sz val="7.5"/>
        <rFont val="Arial"/>
        <family val="2"/>
      </rPr>
      <t>State Family Assistance Grant</t>
    </r>
  </si>
  <si>
    <r>
      <rPr>
        <b/>
        <sz val="7.5"/>
        <color rgb="FF000000"/>
        <rFont val="Arial"/>
        <family val="2"/>
      </rPr>
      <t xml:space="preserve">TOTAL FEDERAL FUNDS
</t>
    </r>
    <r>
      <rPr>
        <sz val="7.5"/>
        <color rgb="FF000000"/>
        <rFont val="Arial"/>
        <family val="2"/>
      </rPr>
      <t>FY 2024 Federal Awards + Carryover from Previous Fiscal Years</t>
    </r>
  </si>
  <si>
    <t>TRANSFERRED TO CHILD CARE DEVELOPMENT FUND</t>
  </si>
  <si>
    <t>TRANSFERRED TO SOCIAL SERVICES BLOCK GRANT</t>
  </si>
  <si>
    <r>
      <rPr>
        <b/>
        <sz val="7.5"/>
        <color rgb="FF000000"/>
        <rFont val="Arial"/>
        <family val="2"/>
      </rPr>
      <t>FEDERAL FUNDS AVAILABLE FOR TANF</t>
    </r>
    <r>
      <rPr>
        <sz val="7.5"/>
        <color indexed="8"/>
        <rFont val="Arial"/>
        <family val="2"/>
      </rPr>
      <t xml:space="preserve">
(Total Federal Funds minus Transfers)</t>
    </r>
  </si>
  <si>
    <t xml:space="preserve">TOTAL FEDERAL EXPENDITURES </t>
  </si>
  <si>
    <t>UNLIQUIDATED OBLIGATIONS</t>
  </si>
  <si>
    <t>UNOBLIGATED BALANCE</t>
  </si>
  <si>
    <t>1. Awarded</t>
  </si>
  <si>
    <t>2. Transferred to CCDF Discretionary</t>
  </si>
  <si>
    <t>3. Transfered to SSBG</t>
  </si>
  <si>
    <t>4. Adjusted Award</t>
  </si>
  <si>
    <t>5. Carryover</t>
  </si>
  <si>
    <t>6. Basic Assistance</t>
  </si>
  <si>
    <t xml:space="preserve">   6.a. Basic Assistance -
(excluding Relative Foster Care Maintenance Payments and Adoption and Guardianship Subsidies)</t>
  </si>
  <si>
    <t xml:space="preserve">   6.b. Basic Assistance -
Relative Foster Care Maintenance Payments and Adoption and Guardianship Subsidies</t>
  </si>
  <si>
    <t>7. Assistance Authorized Solely Under Prior Law</t>
  </si>
  <si>
    <t xml:space="preserve">   7.a. Assistance Authorized Solely Under Prior Law -
Foster Care Payments</t>
  </si>
  <si>
    <t xml:space="preserve">   7.b. Assistance Authorized Solely Under Prior Law-
Juvenile Justice Payments</t>
  </si>
  <si>
    <t xml:space="preserve">   7.c. Assistance Authorized Solely Under Prior Law -
Emergency Assistance</t>
  </si>
  <si>
    <t>8. Non-Assistance Authorized Solely Under Prior Law</t>
  </si>
  <si>
    <t xml:space="preserve">   8.a. Non-Assistance Authorized Solely Under Prior Law -
Child Welfare or Foster Care Services</t>
  </si>
  <si>
    <t xml:space="preserve">   8.b. Non-Assistance Authorized Solely Under Prior Law -
Juvenile Justice Services</t>
  </si>
  <si>
    <t xml:space="preserve">   8.c. Non-Assistance Authorized Solely Under Prior Law -
Emergency Services</t>
  </si>
  <si>
    <t>9. Work, Education, and Training Activities</t>
  </si>
  <si>
    <t xml:space="preserve">   9.a. Work, Education, and Training Activities -
Subsidized Employment</t>
  </si>
  <si>
    <t xml:space="preserve">   9.b. Work, Education, and Training Activities -
Education and Training</t>
  </si>
  <si>
    <t xml:space="preserve">   9.c. Work, Education, and Training Activities -
Additional Work Activities</t>
  </si>
  <si>
    <t>10. Work Supports</t>
  </si>
  <si>
    <t>11. Early Care and Education</t>
  </si>
  <si>
    <t xml:space="preserve">   11.a. Early Care and Education -
Child Care (Assistance and Non-Assistance)</t>
  </si>
  <si>
    <t xml:space="preserve">   11.b. Early Care and Education -
Pre-Kindergarten/Head Start</t>
  </si>
  <si>
    <t>12. Financial Education and Asset Development</t>
  </si>
  <si>
    <t>13. Refundable Earned Income Tax Credits</t>
  </si>
  <si>
    <t>14. Non-EITC Refundable State Tax Credits</t>
  </si>
  <si>
    <t>15. Non-Recurrent Short Term Benefits</t>
  </si>
  <si>
    <t>16. Supportive Services</t>
  </si>
  <si>
    <t>17. Services for Children and Youth</t>
  </si>
  <si>
    <t>18. Prevention of Out-of-Wedlock Pregnancies</t>
  </si>
  <si>
    <t>19. Fatherhood and Two-Parent Family Formation and Maintenance Programs</t>
  </si>
  <si>
    <t>20. Child Welfare Services</t>
  </si>
  <si>
    <t xml:space="preserve">   20.a. Child Welfare Services -
Family Support/Family Preservation /Reunification Services</t>
  </si>
  <si>
    <t xml:space="preserve">   20.b. Child Welfare Services -
Adoption Services</t>
  </si>
  <si>
    <t xml:space="preserve">   20.c. Child Welfare Services -
Additional Child Welfare Services</t>
  </si>
  <si>
    <t>21. Home Visiting Programs</t>
  </si>
  <si>
    <t>22. Program Management</t>
  </si>
  <si>
    <t xml:space="preserve">   22.a. Program Management -
Administrative Costs</t>
  </si>
  <si>
    <t xml:space="preserve">   22.b. Program Management -
Assessment/Service Provision</t>
  </si>
  <si>
    <t xml:space="preserve">   22.c. Program Management -
Systems</t>
  </si>
  <si>
    <t>23. Other</t>
  </si>
  <si>
    <t>24. Total Expenditures</t>
  </si>
  <si>
    <t>27. Federal Unliquidated Obligations</t>
  </si>
  <si>
    <t>28. Unobligated Balance</t>
  </si>
  <si>
    <t>B.: Total Federal TANF and State MOE Expenditures in FY 2024</t>
  </si>
  <si>
    <t>C.1.: Federal TANF Expenditures in FY 2024</t>
  </si>
  <si>
    <t xml:space="preserve">   7.c. Assistance Authorized Solely Under Prior Law -
Emergency Assistance </t>
  </si>
  <si>
    <t>DIST. OF COLUMBIA</t>
  </si>
  <si>
    <t xml:space="preserve">KANSAS </t>
  </si>
  <si>
    <t xml:space="preserve">LOUISIANA </t>
  </si>
  <si>
    <t xml:space="preserve">NEW YORK </t>
  </si>
  <si>
    <t>C.2.:  State MOE Expenditures in FY 2024</t>
  </si>
  <si>
    <t xml:space="preserve">   7.c. Assistance Authorized Solely Under Prior Law -
Emergency Assistance Authorized Solely Under Prior Law</t>
  </si>
  <si>
    <t xml:space="preserve">   8.c. Non-Assistance Authorized Solely Under Prior Law -
Emergency Services Authorized Solely Under Prior Law</t>
  </si>
  <si>
    <t>C.3.: Analysis of State MOE Spending Levels in FY 2024</t>
  </si>
  <si>
    <t>State</t>
  </si>
  <si>
    <t>Total State MOE Expenditures</t>
  </si>
  <si>
    <t>State MOE at 100%</t>
  </si>
  <si>
    <t>Difference of MOE at 100% and Total State Spending</t>
  </si>
  <si>
    <t>State MOE at 80%</t>
  </si>
  <si>
    <t>Difference of MOE at 80% And Total State Spending</t>
  </si>
  <si>
    <t>State MOE at 75%</t>
  </si>
  <si>
    <t>Difference of MOE at 75% and Total State Spending</t>
  </si>
  <si>
    <t>D.: State Tables - Table of Contents</t>
  </si>
  <si>
    <t>Return to Main Table of Contents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</si>
  <si>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</si>
  <si>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</si>
  <si>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</si>
  <si>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</si>
  <si>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</si>
  <si>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</si>
  <si>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</si>
  <si>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</si>
  <si>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</si>
  <si>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</si>
  <si>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</si>
  <si>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</si>
  <si>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</si>
  <si>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</si>
  <si>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</si>
  <si>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</si>
  <si>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</si>
  <si>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</si>
  <si>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</si>
  <si>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</si>
  <si>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</si>
  <si>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</si>
  <si>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</si>
  <si>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</si>
  <si>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</si>
  <si>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</si>
  <si>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</si>
  <si>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</si>
  <si>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</si>
  <si>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</si>
  <si>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</si>
  <si>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</si>
  <si>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</si>
  <si>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</si>
  <si>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</si>
  <si>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</si>
  <si>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</si>
  <si>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</si>
  <si>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</si>
  <si>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</si>
  <si>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</si>
  <si>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</si>
  <si>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</si>
  <si>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</si>
  <si>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</si>
  <si>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</si>
  <si>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</si>
  <si>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</si>
  <si>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</si>
  <si>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</si>
  <si>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</si>
  <si>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Alabama: Federal TANF and State MOE Expenditures Summary by ACF-196R Spending Category, FY 2024</t>
  </si>
  <si>
    <t>Alaska: Federal TANF and State MOE Expenditures Summary by ACF-196R Spending Category, FY 2024</t>
  </si>
  <si>
    <t>Arizona: Federal TANF and State MOE Expenditures Summary by ACF-196R Spending Category, FY 2024</t>
  </si>
  <si>
    <t>Arkansas: Federal TANF and State MOE Expenditures Summary by ACF-196R Spending Category, FY 2024</t>
  </si>
  <si>
    <t>California: Federal TANF and State MOE Expenditures Summary by ACF-196R Spending Category, FY 2024</t>
  </si>
  <si>
    <t>Colorado: Federal TANF and State MOE Expenditures Summary by ACF-196R Spending Category, FY 2024</t>
  </si>
  <si>
    <t>Connecticut: Federal TANF and State MOE Expenditures Summary by ACF-196R Spending Category, FY 2024</t>
  </si>
  <si>
    <t>Delaware: Federal TANF and State MOE Expenditures Summary by ACF-196R Spending Category, FY 2024</t>
  </si>
  <si>
    <t>District of Columbia: Federal TANF and State MOE Expenditures Summary by ACF-196R Spending Category, FY 2024</t>
  </si>
  <si>
    <t>Florida: Federal TANF and State MOE Expenditures Summary by ACF-196R Spending Category, FY 2024</t>
  </si>
  <si>
    <t>Georgia: Federal TANF and State MOE Expenditures Summary by ACF-196R Spending Category, FY 2024</t>
  </si>
  <si>
    <t>Hawaii: Federal TANF and State MOE Expenditures Summary by ACF-196R Spending Category, FY 2024</t>
  </si>
  <si>
    <t>Idaho: Federal TANF and State MOE Expenditures Summary by ACF-196R Spending Category, FY 2024</t>
  </si>
  <si>
    <t>Illinois: Federal TANF and State MOE Expenditures Summary by ACF-196R Spending Category, FY 2024</t>
  </si>
  <si>
    <t>Indiana: Federal TANF and State MOE Expenditures Summary by ACF-196R Spending Category, FY 2024</t>
  </si>
  <si>
    <t>Iowa: Federal TANF and State MOE Expenditures Summary by ACF-196R Spending Category, FY 2024</t>
  </si>
  <si>
    <t>Kansas: Federal TANF and State MOE Expenditures Summary by ACF-196R Spending Category, FY 2024</t>
  </si>
  <si>
    <t>Kentucky: Federal TANF and State MOE Expenditures Summary by ACF-196R Spending Category, FY 2024</t>
  </si>
  <si>
    <t>Louisiana: Federal TANF and State MOE Expenditures Summary by ACF-196R Spending Category, FY 2024</t>
  </si>
  <si>
    <t>Maine: Federal TANF and State MOE Expenditures Summary by ACF-196R Spending Category, FY 2024</t>
  </si>
  <si>
    <t>Maryland: Federal TANF and State MOE Expenditures Summary by ACF-196R Spending Category, FY 2024</t>
  </si>
  <si>
    <t>Massachusetts: Federal TANF and State MOE Expenditures Summary by ACF-196R Spending Category, FY 2024</t>
  </si>
  <si>
    <t>Michigan: Federal TANF and State MOE Expenditures Summary by ACF-196R Spending Category, FY 2024</t>
  </si>
  <si>
    <t>Minnesota: Federal TANF and State MOE Expenditures Summary by ACF-196R Spending Category, FY 2024</t>
  </si>
  <si>
    <t>Mississippi: Federal TANF and State MOE Expenditures Summary by ACF-196R Spending Category, FY 2024</t>
  </si>
  <si>
    <t>Missouri: Federal TANF and State MOE Expenditures Summary by ACF-196R Spending Category, FY 2024</t>
  </si>
  <si>
    <t>Montana: Federal TANF and State MOE Expenditures Summary by ACF-196R Spending Category, FY 2024</t>
  </si>
  <si>
    <t>Nebraska: Federal TANF and State MOE Expenditures Summary by ACF-196R Spending Category, FY 2024</t>
  </si>
  <si>
    <t>Nevada: Federal TANF and State MOE Expenditures Summary by ACF-196R Spending Category, FY 2024</t>
  </si>
  <si>
    <t>New Hampshire: Federal TANF and State MOE Expenditures Summary by ACF-196R Spending Category, FY 2024</t>
  </si>
  <si>
    <t>New Jersey: Federal TANF and State MOE Expenditures Summary by ACF-196R Spending Category, FY 2024</t>
  </si>
  <si>
    <t>New Mexico: Federal TANF and State MOE Expenditures Summary by ACF-196R Spending Category, FY 2024</t>
  </si>
  <si>
    <t>New York: Federal TANF and State MOE Expenditures Summary by ACF-196R Spending Category, FY 2024</t>
  </si>
  <si>
    <t>North Carolina: Federal TANF and State MOE Expenditures Summary by ACF-196R Spending Category, FY 2024</t>
  </si>
  <si>
    <t>North Dakota: Federal TANF and State MOE Expenditures Summary by ACF-196R Spending Category, FY 2024</t>
  </si>
  <si>
    <t>Ohio: Federal TANF and State MOE Expenditures Summary by ACF-196R Spending Category, FY 2024</t>
  </si>
  <si>
    <t>Oklahoma: Federal TANF and State MOE Expenditures Summary by ACF-196R Spending Category, FY 2024</t>
  </si>
  <si>
    <t>Oregon: Federal TANF and State MOE Expenditures Summary by ACF-196R Spending Category, FY 2024</t>
  </si>
  <si>
    <t>Pennsylvania: Federal TANF and State MOE Expenditures Summary by ACF-196R Spending Category, FY 2024</t>
  </si>
  <si>
    <t>Rhode Island: Federal TANF and State MOE Expenditures Summary by ACF-196R Spending Category, FY 2024</t>
  </si>
  <si>
    <t>South Carolina: Federal TANF and State MOE Expenditures Summary by ACF-196R Spending Category, FY 2024</t>
  </si>
  <si>
    <t>South Dakota: Federal TANF and State MOE Expenditures Summary by ACF-196R Spending Category, FY 2024</t>
  </si>
  <si>
    <t>Tennessee: Federal TANF and State MOE Expenditures Summary by ACF-196R Spending Category, FY 2024</t>
  </si>
  <si>
    <t>Texas: Federal TANF and State MOE Expenditures Summary by ACF-196R Spending Category, FY 2024</t>
  </si>
  <si>
    <t>Utah: Federal TANF and State MOE Expenditures Summary by ACF-196R Spending Category, FY 2024</t>
  </si>
  <si>
    <t>Vermont: Federal TANF and State MOE Expenditures Summary by ACF-196R Spending Category, FY 2024</t>
  </si>
  <si>
    <t>Virginia: Federal TANF and State MOE Expenditures Summary by ACF-196R Spending Category, FY 2024</t>
  </si>
  <si>
    <t>Washington: Federal TANF and State MOE Expenditures Summary by ACF-196R Spending Category, FY 2024</t>
  </si>
  <si>
    <t>West Virginia: Federal TANF and State MOE Expenditures Summary by ACF-196R Spending Category, FY 2024</t>
  </si>
  <si>
    <t>Wisconsin: Federal TANF and State MOE Expenditures Summary by ACF-196R Spending Category, FY 2024</t>
  </si>
  <si>
    <t>Wyoming: Federal TANF and State MOE Expenditures Summary by ACF-196R Spending Category, FY 2024</t>
  </si>
  <si>
    <t>E.1.: FY 2024 Federal TANF and State MOE Expenditures Summary by Funding Stream, by State</t>
  </si>
  <si>
    <t>Total Expenditures</t>
  </si>
  <si>
    <t>State MOE In TANF</t>
  </si>
  <si>
    <t>State MOE In Separate State Programs</t>
  </si>
  <si>
    <t>E.2.: Expenditures using State Family Assistance Grant (SFAG) Funds, FY 2024</t>
  </si>
  <si>
    <t xml:space="preserve">   8.c. Non-Assistance Authorized Solely Under Prior Law -
Emergency Services </t>
  </si>
  <si>
    <t>Updated 11.21.2025</t>
  </si>
  <si>
    <t>E.3.: Expenditures using MOE in TANF, FY 2024</t>
  </si>
  <si>
    <t>E.4.: Expenditures using MOE in Separate State Programs, FY 2024</t>
  </si>
  <si>
    <t>E.5.: Expenditures using Contingency Funds, FY 2024</t>
  </si>
  <si>
    <t xml:space="preserve">Contingency Funds are additional federal funds available to states, at their request, when unfavorable economic conditions exist. They are considered provisional payments, according to section 403(b)(3)(A) of the Social Security Act because the exact amount of Contingency Funds that the state may actually keep is not determined until after the fiscal year ends.  Unlike TANF funds under Section 403(a), Contingency Funds are not available until expended, i.e., they must be expended by the end of the fiscal year. 
</t>
  </si>
  <si>
    <t>F.: Appendix: Transitional Services for Employed and Job Access Expenditures in FY 2024</t>
  </si>
  <si>
    <t>Transitional Services for Employed</t>
  </si>
  <si>
    <t>Job Access</t>
  </si>
  <si>
    <t>Total</t>
  </si>
  <si>
    <t>Federal</t>
  </si>
  <si>
    <t>SFAG</t>
  </si>
  <si>
    <t>MOE in TANF</t>
  </si>
  <si>
    <t>MOE SSP</t>
  </si>
  <si>
    <t>Contingency</t>
  </si>
  <si>
    <r>
      <rPr>
        <b/>
        <sz val="9"/>
        <color theme="1"/>
        <rFont val="Arial"/>
        <family val="2"/>
      </rPr>
      <t xml:space="preserve">Transitional Services for Employed: </t>
    </r>
    <r>
      <rPr>
        <sz val="9"/>
        <color theme="1"/>
        <rFont val="Arial"/>
        <family val="2"/>
      </rPr>
      <t xml:space="preserve">Section 411(a)(5) of the Social Security Act requires states to report expenditures on transitional services for families who have ceased to receive assistance because of employment.  This can include expenditures from a variety of individual categories, e.g., child care or supportive services; to avoid double-counting, these expenditures are reported as a separate line item apart from the other expenditure categories.
</t>
    </r>
    <r>
      <rPr>
        <b/>
        <sz val="9"/>
        <color theme="1"/>
        <rFont val="Arial"/>
        <family val="2"/>
      </rPr>
      <t xml:space="preserve">Job Access: </t>
    </r>
    <r>
      <rPr>
        <sz val="9"/>
        <color theme="1"/>
        <rFont val="Arial"/>
        <family val="2"/>
      </rPr>
      <t>Expenditures of federal TANF block grant funds to meet the matching requirements for the Department of Transportation Job Access program.   These expenditures are also included in “Work Supports.”  To avoid double-counting, the Job Access expenditures are reported as a separate line item apart from the other expenditures categories.  The amount of TANF funds expended on Job Access programs that may be used as non-federal matching under the Job Access program is limited to the difference between 30 percent of TANF block grant funds and the total amount transferred to SSBG and the Discretionary Fund of CCDF.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</si>
</sst>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43" formatCode="_(* #,##0.00_);_(* \(#,##0.00\);_(* &quot;-&quot;??_);_(@_)"/>
    <numFmt numFmtId="164" formatCode="&quot;$&quot;#,##0"/>
    <numFmt numFmtId="165" formatCode="0.0%"/>
  </numFmts>
  <fonts count="48" x14ac:knownFonts="1">
    <font>
      <sz val="11"/>
      <color theme="1"/>
      <name val="Calibri"/>
      <family val="2"/>
      <scheme val="minor"/>
    </font>
    <font>
      <sz val="10"/>
      <color indexed="8"/>
      <name val="Arial"/>
      <family val="2"/>
    </font>
    <font>
      <sz val="7.5"/>
      <color indexed="8"/>
      <name val="Arial"/>
      <family val="2"/>
    </font>
    <font>
      <sz val="10"/>
      <name val="Arial"/>
      <family val="2"/>
    </font>
    <font>
      <sz val="11"/>
      <color indexed="8"/>
      <name val="Calibri"/>
      <family val="2"/>
    </font>
    <font>
      <sz val="11"/>
      <color indexed="8"/>
      <name val="Arial"/>
      <family val="2"/>
    </font>
    <font>
      <b/>
      <sz val="7.5"/>
      <color indexed="8"/>
      <name val="Arial"/>
      <family val="2"/>
    </font>
    <font>
      <sz val="8"/>
      <name val="Calibri"/>
      <family val="2"/>
    </font>
    <font>
      <u/>
      <sz val="10"/>
      <color indexed="12"/>
      <name val="Arial"/>
      <family val="2"/>
    </font>
    <font>
      <sz val="11"/>
      <color rgb="FF000000"/>
      <name val="Arial"/>
      <family val="2"/>
    </font>
    <font>
      <sz val="11"/>
      <color theme="1"/>
      <name val="Arial"/>
      <family val="2"/>
    </font>
    <font>
      <b/>
      <sz val="12"/>
      <color indexed="8"/>
      <name val="Arial"/>
      <family val="2"/>
    </font>
    <font>
      <sz val="11"/>
      <name val="Arial"/>
      <family val="2"/>
    </font>
    <font>
      <sz val="12"/>
      <color indexed="8"/>
      <name val="Arial"/>
      <family val="2"/>
    </font>
    <font>
      <sz val="14"/>
      <color rgb="FF000000"/>
      <name val="Arial"/>
      <family val="2"/>
    </font>
    <font>
      <b/>
      <sz val="11"/>
      <color rgb="FF000000"/>
      <name val="Arial"/>
      <family val="2"/>
    </font>
    <font>
      <b/>
      <sz val="12"/>
      <color rgb="FF000000"/>
      <name val="Arial"/>
      <family val="2"/>
    </font>
    <font>
      <sz val="14"/>
      <color indexed="8"/>
      <name val="Arial"/>
      <family val="2"/>
    </font>
    <font>
      <sz val="14"/>
      <color theme="1"/>
      <name val="Calibri"/>
      <family val="2"/>
      <scheme val="minor"/>
    </font>
    <font>
      <i/>
      <sz val="11"/>
      <color theme="1"/>
      <name val="Arial"/>
      <family val="2"/>
    </font>
    <font>
      <b/>
      <sz val="11"/>
      <color indexed="8"/>
      <name val="Arial"/>
      <family val="2"/>
    </font>
    <font>
      <b/>
      <sz val="11"/>
      <color theme="1"/>
      <name val="Arial"/>
      <family val="2"/>
    </font>
    <font>
      <sz val="12"/>
      <color theme="1"/>
      <name val="Arial"/>
      <family val="2"/>
    </font>
    <font>
      <sz val="7.5"/>
      <name val="Arial"/>
      <family val="2"/>
    </font>
    <font>
      <b/>
      <sz val="7.5"/>
      <name val="Arial"/>
      <family val="2"/>
    </font>
    <font>
      <sz val="10"/>
      <color indexed="8"/>
      <name val="MS Shell Dlg 2"/>
      <charset val="1"/>
    </font>
    <font>
      <sz val="12"/>
      <name val="Arial"/>
      <family val="2"/>
    </font>
    <font>
      <sz val="11"/>
      <color theme="1"/>
      <name val="Calibri"/>
      <family val="2"/>
      <scheme val="minor"/>
    </font>
    <font>
      <u/>
      <sz val="11"/>
      <color theme="10"/>
      <name val="Calibri"/>
      <family val="2"/>
      <scheme val="minor"/>
    </font>
    <font>
      <b/>
      <i/>
      <sz val="11"/>
      <color theme="1"/>
      <name val="Arial"/>
      <family val="2"/>
    </font>
    <font>
      <b/>
      <sz val="12"/>
      <color theme="1"/>
      <name val="Arial"/>
      <family val="2"/>
    </font>
    <font>
      <u/>
      <sz val="11"/>
      <color theme="10"/>
      <name val="Arial"/>
      <family val="2"/>
    </font>
    <font>
      <b/>
      <sz val="11"/>
      <color theme="1"/>
      <name val="Calibri"/>
      <family val="2"/>
      <scheme val="minor"/>
    </font>
    <font>
      <b/>
      <sz val="11"/>
      <color indexed="8"/>
      <name val="Calibri"/>
      <family val="2"/>
      <scheme val="minor"/>
    </font>
    <font>
      <i/>
      <sz val="11"/>
      <name val="Arial"/>
      <family val="2"/>
    </font>
    <font>
      <b/>
      <u/>
      <sz val="11"/>
      <color theme="10"/>
      <name val="Arial"/>
      <family val="2"/>
    </font>
    <font>
      <sz val="10"/>
      <color theme="1"/>
      <name val="Tahoma"/>
      <family val="2"/>
    </font>
    <font>
      <i/>
      <u/>
      <sz val="11"/>
      <color theme="10"/>
      <name val="Arial"/>
      <family val="2"/>
    </font>
    <font>
      <b/>
      <sz val="12"/>
      <color theme="1"/>
      <name val="Calibri"/>
      <family val="2"/>
      <scheme val="minor"/>
    </font>
    <font>
      <sz val="9"/>
      <color theme="1"/>
      <name val="Arial"/>
      <family val="2"/>
    </font>
    <font>
      <sz val="9"/>
      <color indexed="8"/>
      <name val="Arial"/>
      <family val="2"/>
    </font>
    <font>
      <b/>
      <sz val="9"/>
      <color theme="1"/>
      <name val="Arial"/>
      <family val="2"/>
    </font>
    <font>
      <sz val="11"/>
      <name val="Calibri"/>
      <family val="2"/>
      <scheme val="minor"/>
    </font>
    <font>
      <i/>
      <sz val="9"/>
      <color theme="1"/>
      <name val="Arial"/>
      <family val="2"/>
    </font>
    <font>
      <b/>
      <sz val="7.5"/>
      <color rgb="FF000000"/>
      <name val="Arial"/>
      <family val="2"/>
    </font>
    <font>
      <sz val="11"/>
      <color indexed="8"/>
      <name val="Arial"/>
      <family val="2"/>
    </font>
    <font>
      <sz val="7.5"/>
      <color rgb="FF000000"/>
      <name val="Arial"/>
      <family val="2"/>
    </font>
    <font>
      <i/>
      <sz val="9"/>
      <color rgb="FFA12854"/>
      <name val="Arial"/>
      <family val="2"/>
    </font>
  </fonts>
  <fills count="12">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rgb="FF000000"/>
      </patternFill>
    </fill>
    <fill>
      <patternFill patternType="solid">
        <fgColor theme="0" tint="-0.14999847407452621"/>
        <bgColor indexed="64"/>
      </patternFill>
    </fill>
    <fill>
      <patternFill patternType="solid">
        <fgColor rgb="FFC0C0C0"/>
        <bgColor indexed="64"/>
      </patternFill>
    </fill>
    <fill>
      <patternFill patternType="solid">
        <fgColor theme="0" tint="-0.499984740745262"/>
        <bgColor indexed="64"/>
      </patternFill>
    </fill>
    <fill>
      <patternFill patternType="solid">
        <fgColor rgb="FFD9D9D9"/>
        <bgColor rgb="FF000000"/>
      </patternFill>
    </fill>
    <fill>
      <patternFill patternType="solid">
        <fgColor rgb="FFFFFFFF"/>
        <bgColor rgb="FF000000"/>
      </patternFill>
    </fill>
  </fills>
  <borders count="34">
    <border>
      <left/>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8"/>
      </left>
      <right/>
      <top style="thin">
        <color indexed="8"/>
      </top>
      <bottom style="thin">
        <color indexed="8"/>
      </bottom>
      <diagonal/>
    </border>
    <border>
      <left/>
      <right style="thin">
        <color indexed="8"/>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8"/>
      </left>
      <right style="thin">
        <color indexed="64"/>
      </right>
      <top/>
      <bottom/>
      <diagonal/>
    </border>
    <border>
      <left style="thin">
        <color indexed="8"/>
      </left>
      <right/>
      <top style="thin">
        <color indexed="64"/>
      </top>
      <bottom/>
      <diagonal/>
    </border>
    <border>
      <left style="thin">
        <color indexed="64"/>
      </left>
      <right/>
      <top/>
      <bottom style="thin">
        <color indexed="64"/>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8"/>
      </left>
      <right style="double">
        <color indexed="64"/>
      </right>
      <top style="thin">
        <color indexed="8"/>
      </top>
      <bottom style="thin">
        <color indexed="8"/>
      </bottom>
      <diagonal/>
    </border>
    <border>
      <left style="thin">
        <color indexed="64"/>
      </left>
      <right style="thin">
        <color indexed="64"/>
      </right>
      <top style="thin">
        <color indexed="64"/>
      </top>
      <bottom style="thin">
        <color indexed="8"/>
      </bottom>
      <diagonal/>
    </border>
    <border>
      <left style="thin">
        <color indexed="8"/>
      </left>
      <right style="double">
        <color indexed="64"/>
      </right>
      <top/>
      <bottom style="thin">
        <color indexed="8"/>
      </bottom>
      <diagonal/>
    </border>
    <border>
      <left style="double">
        <color indexed="64"/>
      </left>
      <right style="double">
        <color indexed="64"/>
      </right>
      <top/>
      <bottom/>
      <diagonal/>
    </border>
    <border>
      <left style="double">
        <color indexed="64"/>
      </left>
      <right style="double">
        <color indexed="64"/>
      </right>
      <top style="thin">
        <color indexed="8"/>
      </top>
      <bottom style="thin">
        <color indexed="8"/>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8"/>
      </right>
      <top/>
      <bottom style="thin">
        <color indexed="8"/>
      </bottom>
      <diagonal/>
    </border>
    <border>
      <left/>
      <right style="thin">
        <color indexed="8"/>
      </right>
      <top style="thin">
        <color indexed="64"/>
      </top>
      <bottom/>
      <diagonal/>
    </border>
    <border>
      <left style="double">
        <color indexed="64"/>
      </left>
      <right/>
      <top style="thin">
        <color indexed="64"/>
      </top>
      <bottom/>
      <diagonal/>
    </border>
    <border>
      <left style="thin">
        <color indexed="8"/>
      </left>
      <right/>
      <top/>
      <bottom style="thin">
        <color indexed="8"/>
      </bottom>
      <diagonal/>
    </border>
    <border>
      <left style="thin">
        <color indexed="64"/>
      </left>
      <right style="thin">
        <color indexed="8"/>
      </right>
      <top style="thin">
        <color indexed="64"/>
      </top>
      <bottom/>
      <diagonal/>
    </border>
    <border>
      <left/>
      <right style="double">
        <color indexed="64"/>
      </right>
      <top/>
      <bottom style="thin">
        <color indexed="8"/>
      </bottom>
      <diagonal/>
    </border>
    <border>
      <left style="double">
        <color indexed="64"/>
      </left>
      <right style="double">
        <color indexed="64"/>
      </right>
      <top/>
      <bottom style="thin">
        <color indexed="8"/>
      </bottom>
      <diagonal/>
    </border>
    <border>
      <left style="thin">
        <color indexed="8"/>
      </left>
      <right/>
      <top/>
      <bottom/>
      <diagonal/>
    </border>
    <border>
      <left style="thin">
        <color indexed="8"/>
      </left>
      <right style="thin">
        <color indexed="8"/>
      </right>
      <top style="thin">
        <color indexed="8"/>
      </top>
      <bottom/>
      <diagonal/>
    </border>
    <border>
      <left/>
      <right/>
      <top style="thin">
        <color indexed="64"/>
      </top>
      <bottom/>
      <diagonal/>
    </border>
    <border>
      <left style="thin">
        <color indexed="8"/>
      </left>
      <right/>
      <top style="thin">
        <color indexed="8"/>
      </top>
      <bottom/>
      <diagonal/>
    </border>
  </borders>
  <cellStyleXfs count="14">
    <xf numFmtId="0" fontId="0" fillId="0" borderId="0"/>
    <xf numFmtId="43" fontId="3" fillId="0" borderId="0" applyFont="0" applyFill="0" applyBorder="0" applyAlignment="0" applyProtection="0"/>
    <xf numFmtId="0" fontId="8" fillId="0" borderId="0" applyNumberFormat="0" applyFill="0" applyBorder="0" applyAlignment="0" applyProtection="0">
      <alignment vertical="top"/>
      <protection locked="0"/>
    </xf>
    <xf numFmtId="0" fontId="3" fillId="0" borderId="0" applyNumberFormat="0"/>
    <xf numFmtId="0" fontId="1" fillId="0" borderId="0"/>
    <xf numFmtId="9" fontId="3" fillId="0" borderId="0" applyFont="0" applyFill="0" applyBorder="0" applyAlignment="0" applyProtection="0"/>
    <xf numFmtId="44" fontId="1" fillId="0" borderId="0"/>
    <xf numFmtId="0" fontId="25" fillId="0" borderId="0"/>
    <xf numFmtId="0" fontId="1" fillId="0" borderId="0"/>
    <xf numFmtId="43" fontId="26" fillId="0" borderId="0" applyFont="0" applyFill="0" applyBorder="0" applyAlignment="0" applyProtection="0"/>
    <xf numFmtId="0" fontId="26" fillId="0" borderId="0"/>
    <xf numFmtId="0" fontId="28" fillId="0" borderId="0" applyNumberFormat="0" applyFill="0" applyBorder="0" applyAlignment="0" applyProtection="0"/>
    <xf numFmtId="0" fontId="36" fillId="0" borderId="0"/>
    <xf numFmtId="9" fontId="27" fillId="0" borderId="0" applyFont="0" applyFill="0" applyBorder="0" applyAlignment="0" applyProtection="0"/>
  </cellStyleXfs>
  <cellXfs count="256">
    <xf numFmtId="0" fontId="0" fillId="0" borderId="0" xfId="0"/>
    <xf numFmtId="0" fontId="5" fillId="0" borderId="0" xfId="0" applyFont="1"/>
    <xf numFmtId="0" fontId="1" fillId="0" borderId="0" xfId="4" applyFont="1"/>
    <xf numFmtId="0" fontId="4" fillId="0" borderId="0" xfId="0" applyFont="1"/>
    <xf numFmtId="0" fontId="5" fillId="0" borderId="0" xfId="0" applyFont="1"/>
    <xf numFmtId="0" fontId="0" fillId="0" borderId="0" xfId="0"/>
    <xf numFmtId="0" fontId="5" fillId="0" borderId="2" xfId="4" applyFont="1" applyFill="1" applyBorder="1" applyAlignment="1">
      <alignment vertical="center" wrapText="1"/>
    </xf>
    <xf numFmtId="0" fontId="5" fillId="0" borderId="2" xfId="4" applyFont="1" applyBorder="1"/>
    <xf numFmtId="164" fontId="0" fillId="0" borderId="0" xfId="0" applyNumberFormat="1"/>
    <xf numFmtId="164" fontId="9" fillId="3" borderId="12" xfId="0" applyNumberFormat="1" applyFont="1" applyFill="1" applyBorder="1" applyAlignment="1">
      <alignment horizontal="right" vertical="top" wrapText="1"/>
    </xf>
    <xf numFmtId="164" fontId="5" fillId="4" borderId="11" xfId="4" applyNumberFormat="1" applyFont="1" applyFill="1" applyBorder="1"/>
    <xf numFmtId="164" fontId="5" fillId="0" borderId="16" xfId="4" applyNumberFormat="1" applyFont="1" applyFill="1" applyBorder="1"/>
    <xf numFmtId="165" fontId="10" fillId="6" borderId="12" xfId="0" applyNumberFormat="1" applyFont="1" applyFill="1" applyBorder="1"/>
    <xf numFmtId="164" fontId="5" fillId="4" borderId="20" xfId="4" applyNumberFormat="1" applyFont="1" applyFill="1" applyBorder="1"/>
    <xf numFmtId="0" fontId="10" fillId="0" borderId="0" xfId="0" applyFont="1" applyBorder="1"/>
    <xf numFmtId="0" fontId="10" fillId="0" borderId="0" xfId="0" applyFont="1"/>
    <xf numFmtId="0" fontId="10" fillId="0" borderId="0" xfId="0" applyFont="1" applyBorder="1" applyAlignment="1">
      <alignment horizontal="left"/>
    </xf>
    <xf numFmtId="164" fontId="10" fillId="3" borderId="12" xfId="0" applyNumberFormat="1" applyFont="1" applyFill="1" applyBorder="1"/>
    <xf numFmtId="164" fontId="10" fillId="6" borderId="12" xfId="0" applyNumberFormat="1" applyFont="1" applyFill="1" applyBorder="1"/>
    <xf numFmtId="164" fontId="5" fillId="0" borderId="12" xfId="0" applyNumberFormat="1" applyFont="1" applyBorder="1"/>
    <xf numFmtId="164" fontId="5" fillId="0" borderId="2" xfId="4" applyNumberFormat="1" applyFont="1" applyFill="1" applyBorder="1"/>
    <xf numFmtId="0" fontId="10" fillId="0" borderId="12" xfId="0" applyFont="1" applyBorder="1"/>
    <xf numFmtId="0" fontId="10" fillId="0" borderId="12" xfId="0" applyFont="1" applyBorder="1" applyAlignment="1">
      <alignment horizontal="right"/>
    </xf>
    <xf numFmtId="164" fontId="10" fillId="0" borderId="12" xfId="0" applyNumberFormat="1" applyFont="1" applyBorder="1"/>
    <xf numFmtId="0" fontId="0" fillId="0" borderId="0" xfId="0" applyAlignment="1">
      <alignment wrapText="1"/>
    </xf>
    <xf numFmtId="0" fontId="5" fillId="0" borderId="0" xfId="0" applyFont="1" applyAlignment="1">
      <alignment wrapText="1"/>
    </xf>
    <xf numFmtId="0" fontId="0" fillId="0" borderId="0" xfId="0" applyNumberFormat="1"/>
    <xf numFmtId="164" fontId="4" fillId="0" borderId="0" xfId="0" applyNumberFormat="1" applyFont="1"/>
    <xf numFmtId="0" fontId="0" fillId="0" borderId="0" xfId="0" applyFill="1"/>
    <xf numFmtId="164" fontId="5" fillId="0" borderId="2" xfId="4" quotePrefix="1" applyNumberFormat="1" applyFont="1" applyFill="1" applyBorder="1"/>
    <xf numFmtId="165" fontId="19" fillId="0" borderId="12" xfId="0" applyNumberFormat="1" applyFont="1" applyFill="1" applyBorder="1" applyAlignment="1">
      <alignment horizontal="right"/>
    </xf>
    <xf numFmtId="164" fontId="10" fillId="0" borderId="0" xfId="0" applyNumberFormat="1" applyFont="1" applyBorder="1"/>
    <xf numFmtId="0" fontId="5" fillId="0" borderId="12" xfId="4" applyFont="1" applyFill="1" applyBorder="1" applyAlignment="1">
      <alignment vertical="center" wrapText="1"/>
    </xf>
    <xf numFmtId="0" fontId="5" fillId="0" borderId="12" xfId="4" applyFont="1" applyBorder="1"/>
    <xf numFmtId="0" fontId="5" fillId="0" borderId="17" xfId="4" applyFont="1" applyBorder="1"/>
    <xf numFmtId="164" fontId="5" fillId="0" borderId="12" xfId="4" applyNumberFormat="1" applyFont="1" applyFill="1" applyBorder="1"/>
    <xf numFmtId="0" fontId="5" fillId="0" borderId="0" xfId="0" applyFont="1" applyBorder="1" applyAlignment="1">
      <alignment horizontal="left"/>
    </xf>
    <xf numFmtId="0" fontId="12" fillId="0" borderId="12" xfId="4" applyFont="1" applyBorder="1"/>
    <xf numFmtId="164" fontId="12" fillId="0" borderId="12" xfId="0" applyNumberFormat="1" applyFont="1" applyFill="1" applyBorder="1" applyAlignment="1">
      <alignment horizontal="right" vertical="top"/>
    </xf>
    <xf numFmtId="164" fontId="5" fillId="0" borderId="12" xfId="4" applyNumberFormat="1" applyFont="1" applyBorder="1"/>
    <xf numFmtId="164" fontId="5" fillId="0" borderId="17" xfId="4" applyNumberFormat="1" applyFont="1" applyBorder="1"/>
    <xf numFmtId="0" fontId="10" fillId="0" borderId="0" xfId="0" applyFont="1" applyBorder="1" applyAlignment="1">
      <alignment horizontal="left" wrapText="1"/>
    </xf>
    <xf numFmtId="0" fontId="9" fillId="0" borderId="0" xfId="0" applyFont="1" applyBorder="1" applyAlignment="1">
      <alignment horizontal="left" wrapText="1"/>
    </xf>
    <xf numFmtId="0" fontId="9" fillId="0" borderId="0" xfId="0" applyFont="1" applyBorder="1" applyAlignment="1">
      <alignment horizontal="left"/>
    </xf>
    <xf numFmtId="0" fontId="10" fillId="0" borderId="0" xfId="0" applyFont="1" applyAlignment="1"/>
    <xf numFmtId="0" fontId="0" fillId="0" borderId="0" xfId="0" applyAlignment="1"/>
    <xf numFmtId="0" fontId="21" fillId="0" borderId="0" xfId="0" applyFont="1" applyBorder="1" applyAlignment="1"/>
    <xf numFmtId="0" fontId="21" fillId="0" borderId="0" xfId="0" applyFont="1" applyAlignment="1"/>
    <xf numFmtId="0" fontId="20" fillId="0" borderId="0" xfId="0" applyFont="1" applyBorder="1" applyAlignment="1">
      <alignment horizontal="left"/>
    </xf>
    <xf numFmtId="0" fontId="11" fillId="0" borderId="12" xfId="0" applyFont="1" applyFill="1" applyBorder="1" applyAlignment="1">
      <alignment horizontal="left" vertical="center" wrapText="1"/>
    </xf>
    <xf numFmtId="164" fontId="20" fillId="0" borderId="12" xfId="0" applyNumberFormat="1" applyFont="1" applyBorder="1" applyAlignment="1">
      <alignment horizontal="right"/>
    </xf>
    <xf numFmtId="165" fontId="29" fillId="0" borderId="12" xfId="0" applyNumberFormat="1" applyFont="1" applyFill="1" applyBorder="1" applyAlignment="1">
      <alignment horizontal="right"/>
    </xf>
    <xf numFmtId="0" fontId="5" fillId="0" borderId="14" xfId="0" applyFont="1" applyBorder="1" applyAlignment="1"/>
    <xf numFmtId="0" fontId="0" fillId="0" borderId="14" xfId="0" applyBorder="1" applyAlignment="1"/>
    <xf numFmtId="0" fontId="0" fillId="0" borderId="6" xfId="0" applyBorder="1" applyAlignment="1"/>
    <xf numFmtId="0" fontId="22" fillId="0" borderId="12" xfId="0" applyFont="1" applyBorder="1" applyAlignment="1">
      <alignment wrapText="1"/>
    </xf>
    <xf numFmtId="0" fontId="19" fillId="0" borderId="12" xfId="0" applyFont="1" applyBorder="1" applyAlignment="1">
      <alignment horizontal="left" wrapText="1" indent="1"/>
    </xf>
    <xf numFmtId="0" fontId="30" fillId="0" borderId="12" xfId="0" applyFont="1" applyBorder="1" applyAlignment="1">
      <alignment wrapText="1"/>
    </xf>
    <xf numFmtId="0" fontId="22" fillId="0" borderId="0" xfId="0" applyFont="1" applyBorder="1" applyAlignment="1"/>
    <xf numFmtId="0" fontId="11" fillId="0" borderId="0" xfId="0" applyFont="1" applyFill="1" applyBorder="1" applyAlignment="1">
      <alignment horizontal="left" vertical="center"/>
    </xf>
    <xf numFmtId="0" fontId="30" fillId="0" borderId="0" xfId="0" applyFont="1" applyBorder="1" applyAlignment="1"/>
    <xf numFmtId="0" fontId="0" fillId="0" borderId="0" xfId="0" applyBorder="1"/>
    <xf numFmtId="0" fontId="2" fillId="7" borderId="12" xfId="4" applyFont="1" applyFill="1" applyBorder="1" applyAlignment="1">
      <alignment horizontal="center" vertical="center" wrapText="1"/>
    </xf>
    <xf numFmtId="164" fontId="5" fillId="7" borderId="12" xfId="4" applyNumberFormat="1" applyFont="1" applyFill="1" applyBorder="1"/>
    <xf numFmtId="164" fontId="12" fillId="7" borderId="12" xfId="0" applyNumberFormat="1" applyFont="1" applyFill="1" applyBorder="1" applyAlignment="1">
      <alignment horizontal="right" vertical="top"/>
    </xf>
    <xf numFmtId="0" fontId="21" fillId="0" borderId="0" xfId="0" applyFont="1" applyBorder="1"/>
    <xf numFmtId="0" fontId="31" fillId="0" borderId="0" xfId="11" applyFont="1" applyBorder="1" applyAlignment="1">
      <alignment horizontal="left" wrapText="1"/>
    </xf>
    <xf numFmtId="0" fontId="21" fillId="0" borderId="0" xfId="0" applyFont="1"/>
    <xf numFmtId="0" fontId="31" fillId="0" borderId="0" xfId="11" applyFont="1"/>
    <xf numFmtId="164" fontId="10" fillId="7" borderId="12" xfId="0" applyNumberFormat="1" applyFont="1" applyFill="1" applyBorder="1"/>
    <xf numFmtId="164" fontId="21" fillId="0" borderId="12" xfId="0" applyNumberFormat="1" applyFont="1" applyBorder="1"/>
    <xf numFmtId="165" fontId="19" fillId="7" borderId="12" xfId="0" applyNumberFormat="1" applyFont="1" applyFill="1" applyBorder="1" applyAlignment="1">
      <alignment horizontal="right"/>
    </xf>
    <xf numFmtId="164" fontId="21" fillId="7" borderId="12" xfId="0" applyNumberFormat="1" applyFont="1" applyFill="1" applyBorder="1"/>
    <xf numFmtId="165" fontId="0" fillId="0" borderId="0" xfId="0" applyNumberFormat="1"/>
    <xf numFmtId="0" fontId="0" fillId="3" borderId="0" xfId="0" applyFill="1"/>
    <xf numFmtId="0" fontId="31" fillId="0" borderId="0" xfId="11" applyFont="1" applyBorder="1" applyAlignment="1">
      <alignment vertical="center"/>
    </xf>
    <xf numFmtId="0" fontId="35" fillId="0" borderId="0" xfId="11" applyFont="1"/>
    <xf numFmtId="0" fontId="5" fillId="0" borderId="0" xfId="0" applyFont="1" applyBorder="1" applyAlignment="1">
      <alignment horizontal="left" wrapText="1"/>
    </xf>
    <xf numFmtId="0" fontId="5" fillId="0" borderId="16" xfId="4" applyFont="1" applyFill="1" applyBorder="1" applyAlignment="1">
      <alignment vertical="center" wrapText="1"/>
    </xf>
    <xf numFmtId="164" fontId="5" fillId="0" borderId="11" xfId="4" applyNumberFormat="1" applyFont="1" applyFill="1" applyBorder="1"/>
    <xf numFmtId="0" fontId="5" fillId="0" borderId="16" xfId="4" applyFont="1" applyBorder="1"/>
    <xf numFmtId="164" fontId="5" fillId="0" borderId="23" xfId="4" applyNumberFormat="1" applyFont="1" applyFill="1" applyBorder="1"/>
    <xf numFmtId="0" fontId="9" fillId="0" borderId="0" xfId="0" applyFont="1"/>
    <xf numFmtId="164" fontId="17" fillId="0" borderId="0" xfId="0" applyNumberFormat="1" applyFont="1" applyBorder="1" applyAlignment="1"/>
    <xf numFmtId="0" fontId="21" fillId="7" borderId="13" xfId="0" applyFont="1" applyFill="1" applyBorder="1"/>
    <xf numFmtId="0" fontId="10" fillId="7" borderId="6" xfId="0" applyFont="1" applyFill="1" applyBorder="1"/>
    <xf numFmtId="0" fontId="21" fillId="7" borderId="12" xfId="0" applyFont="1" applyFill="1" applyBorder="1"/>
    <xf numFmtId="0" fontId="5" fillId="2" borderId="12" xfId="0" applyFont="1" applyFill="1" applyBorder="1" applyAlignment="1">
      <alignment horizontal="left"/>
    </xf>
    <xf numFmtId="0" fontId="5" fillId="2" borderId="12" xfId="0" applyFont="1" applyFill="1" applyBorder="1" applyAlignment="1">
      <alignment horizontal="center"/>
    </xf>
    <xf numFmtId="0" fontId="5" fillId="2" borderId="12" xfId="0" applyFont="1" applyFill="1" applyBorder="1" applyAlignment="1">
      <alignment horizontal="center" wrapText="1"/>
    </xf>
    <xf numFmtId="164" fontId="5" fillId="0" borderId="3" xfId="4" applyNumberFormat="1" applyFont="1" applyFill="1" applyBorder="1"/>
    <xf numFmtId="0" fontId="39" fillId="0" borderId="0" xfId="0" applyFont="1"/>
    <xf numFmtId="0" fontId="40" fillId="0" borderId="0" xfId="0" applyFont="1"/>
    <xf numFmtId="0" fontId="39" fillId="0" borderId="0" xfId="0" applyNumberFormat="1" applyFont="1"/>
    <xf numFmtId="0" fontId="1" fillId="2" borderId="12" xfId="4" applyFont="1" applyFill="1" applyBorder="1" applyAlignment="1">
      <alignment horizontal="center" vertical="center" wrapText="1"/>
    </xf>
    <xf numFmtId="0" fontId="30" fillId="0" borderId="0" xfId="0" applyNumberFormat="1" applyFont="1"/>
    <xf numFmtId="0" fontId="30" fillId="0" borderId="0" xfId="0" applyFont="1" applyBorder="1"/>
    <xf numFmtId="0" fontId="0" fillId="0" borderId="0" xfId="0" applyFill="1" applyBorder="1" applyAlignment="1">
      <alignment horizontal="left"/>
    </xf>
    <xf numFmtId="0" fontId="30" fillId="0" borderId="0" xfId="0" applyFont="1" applyFill="1"/>
    <xf numFmtId="0" fontId="5" fillId="0" borderId="0" xfId="0" applyFont="1" applyFill="1" applyBorder="1" applyAlignment="1">
      <alignment horizontal="left"/>
    </xf>
    <xf numFmtId="164" fontId="0" fillId="0" borderId="0" xfId="0" applyNumberFormat="1" applyFill="1"/>
    <xf numFmtId="0" fontId="12" fillId="0" borderId="4" xfId="4" applyFont="1" applyFill="1" applyBorder="1"/>
    <xf numFmtId="0" fontId="42" fillId="0" borderId="0" xfId="0" applyFont="1" applyFill="1"/>
    <xf numFmtId="0" fontId="5" fillId="0" borderId="4" xfId="4" applyFont="1" applyBorder="1"/>
    <xf numFmtId="0" fontId="5" fillId="0" borderId="0" xfId="0" applyFont="1" applyFill="1"/>
    <xf numFmtId="0" fontId="30" fillId="0" borderId="0" xfId="0" applyFont="1" applyAlignment="1"/>
    <xf numFmtId="0" fontId="11" fillId="0" borderId="0" xfId="0" applyFont="1" applyBorder="1" applyAlignment="1">
      <alignment wrapText="1"/>
    </xf>
    <xf numFmtId="0" fontId="32" fillId="3" borderId="0" xfId="0" applyFont="1" applyFill="1" applyBorder="1" applyAlignment="1">
      <alignment wrapText="1"/>
    </xf>
    <xf numFmtId="0" fontId="33" fillId="3" borderId="0" xfId="0" applyFont="1" applyFill="1" applyBorder="1" applyAlignment="1">
      <alignment wrapText="1"/>
    </xf>
    <xf numFmtId="0" fontId="13" fillId="3" borderId="0" xfId="0" applyFont="1" applyFill="1" applyBorder="1" applyAlignment="1">
      <alignment wrapText="1"/>
    </xf>
    <xf numFmtId="0" fontId="9" fillId="3" borderId="0" xfId="0" applyFont="1" applyFill="1" applyBorder="1" applyAlignment="1">
      <alignment vertical="center" wrapText="1"/>
    </xf>
    <xf numFmtId="0" fontId="9" fillId="3" borderId="0" xfId="0" applyFont="1" applyFill="1" applyBorder="1" applyAlignment="1">
      <alignment horizontal="left" vertical="center" wrapText="1"/>
    </xf>
    <xf numFmtId="164" fontId="12" fillId="3" borderId="0" xfId="0" applyNumberFormat="1" applyFont="1" applyFill="1" applyBorder="1" applyAlignment="1">
      <alignment horizontal="left" vertical="center" wrapText="1"/>
    </xf>
    <xf numFmtId="0" fontId="5" fillId="3" borderId="0" xfId="0" applyFont="1" applyFill="1" applyBorder="1" applyAlignment="1">
      <alignment horizontal="left" vertical="center" wrapText="1"/>
    </xf>
    <xf numFmtId="164" fontId="9" fillId="3" borderId="0" xfId="0" applyNumberFormat="1" applyFont="1" applyFill="1" applyBorder="1" applyAlignment="1">
      <alignment horizontal="left" vertical="center" wrapText="1"/>
    </xf>
    <xf numFmtId="164" fontId="9" fillId="3" borderId="0" xfId="0" applyNumberFormat="1" applyFont="1" applyFill="1" applyBorder="1" applyAlignment="1">
      <alignment vertical="center"/>
    </xf>
    <xf numFmtId="0" fontId="19" fillId="3" borderId="0" xfId="0" applyFont="1" applyFill="1" applyBorder="1" applyAlignment="1">
      <alignment horizontal="left" wrapText="1" indent="1"/>
    </xf>
    <xf numFmtId="164" fontId="34" fillId="3" borderId="0" xfId="0" applyNumberFormat="1" applyFont="1" applyFill="1" applyBorder="1" applyAlignment="1">
      <alignment horizontal="left" vertical="center" wrapText="1" indent="1"/>
    </xf>
    <xf numFmtId="0" fontId="0" fillId="3" borderId="0" xfId="0" applyFill="1" applyBorder="1"/>
    <xf numFmtId="10" fontId="19" fillId="0" borderId="12" xfId="0" applyNumberFormat="1" applyFont="1" applyFill="1" applyBorder="1" applyAlignment="1">
      <alignment horizontal="right"/>
    </xf>
    <xf numFmtId="0" fontId="22" fillId="0" borderId="12" xfId="0" applyFont="1" applyFill="1" applyBorder="1" applyAlignment="1">
      <alignment wrapText="1"/>
    </xf>
    <xf numFmtId="164" fontId="10" fillId="0" borderId="12" xfId="0" applyNumberFormat="1" applyFont="1" applyFill="1" applyBorder="1"/>
    <xf numFmtId="0" fontId="19" fillId="0" borderId="12" xfId="0" applyFont="1" applyFill="1" applyBorder="1" applyAlignment="1">
      <alignment horizontal="left" wrapText="1" indent="1"/>
    </xf>
    <xf numFmtId="164" fontId="21" fillId="3" borderId="12" xfId="0" applyNumberFormat="1" applyFont="1" applyFill="1" applyBorder="1"/>
    <xf numFmtId="164" fontId="21" fillId="6" borderId="12" xfId="0" applyNumberFormat="1" applyFont="1" applyFill="1" applyBorder="1"/>
    <xf numFmtId="165" fontId="21" fillId="6" borderId="12" xfId="0" applyNumberFormat="1" applyFont="1" applyFill="1" applyBorder="1"/>
    <xf numFmtId="164" fontId="10" fillId="3" borderId="12" xfId="0" applyNumberFormat="1" applyFont="1" applyFill="1" applyBorder="1" applyAlignment="1"/>
    <xf numFmtId="164" fontId="10" fillId="6" borderId="12" xfId="0" applyNumberFormat="1" applyFont="1" applyFill="1" applyBorder="1" applyAlignment="1"/>
    <xf numFmtId="165" fontId="10" fillId="6" borderId="12" xfId="0" applyNumberFormat="1" applyFont="1" applyFill="1" applyBorder="1" applyAlignment="1"/>
    <xf numFmtId="164" fontId="9" fillId="0" borderId="12" xfId="0" applyNumberFormat="1" applyFont="1" applyBorder="1" applyAlignment="1">
      <alignment horizontal="right"/>
    </xf>
    <xf numFmtId="165" fontId="10" fillId="0" borderId="12" xfId="0" applyNumberFormat="1" applyFont="1" applyBorder="1" applyAlignment="1">
      <alignment horizontal="right"/>
    </xf>
    <xf numFmtId="0" fontId="19" fillId="0" borderId="12" xfId="0" applyFont="1" applyBorder="1" applyAlignment="1">
      <alignment horizontal="left" wrapText="1"/>
    </xf>
    <xf numFmtId="0" fontId="11" fillId="0" borderId="12" xfId="0" applyFont="1" applyFill="1" applyBorder="1" applyAlignment="1">
      <alignment horizontal="left" wrapText="1"/>
    </xf>
    <xf numFmtId="164" fontId="15" fillId="0" borderId="12" xfId="0" applyNumberFormat="1" applyFont="1" applyBorder="1" applyAlignment="1">
      <alignment horizontal="right"/>
    </xf>
    <xf numFmtId="165" fontId="21" fillId="0" borderId="12" xfId="0" applyNumberFormat="1" applyFont="1" applyBorder="1" applyAlignment="1">
      <alignment horizontal="right"/>
    </xf>
    <xf numFmtId="164" fontId="10" fillId="7" borderId="12" xfId="0" applyNumberFormat="1" applyFont="1" applyFill="1" applyBorder="1" applyAlignment="1"/>
    <xf numFmtId="164" fontId="21" fillId="7" borderId="12" xfId="0" applyNumberFormat="1" applyFont="1" applyFill="1" applyBorder="1" applyAlignment="1"/>
    <xf numFmtId="0" fontId="3" fillId="0" borderId="0" xfId="0" applyFont="1" applyBorder="1" applyAlignment="1">
      <alignment vertical="top" wrapText="1"/>
    </xf>
    <xf numFmtId="0" fontId="21" fillId="7" borderId="10" xfId="0" applyFont="1" applyFill="1" applyBorder="1"/>
    <xf numFmtId="0" fontId="10" fillId="7" borderId="15" xfId="0" applyFont="1" applyFill="1" applyBorder="1"/>
    <xf numFmtId="164" fontId="5" fillId="0" borderId="7" xfId="0" applyNumberFormat="1" applyFont="1" applyFill="1" applyBorder="1" applyAlignment="1">
      <alignment horizontal="left"/>
    </xf>
    <xf numFmtId="165" fontId="0" fillId="0" borderId="0" xfId="13" applyNumberFormat="1" applyFont="1"/>
    <xf numFmtId="0" fontId="6" fillId="5" borderId="12" xfId="4" applyFont="1" applyFill="1" applyBorder="1" applyAlignment="1">
      <alignment horizontal="center" vertical="center" wrapText="1"/>
    </xf>
    <xf numFmtId="0" fontId="0" fillId="0" borderId="0" xfId="0" applyFont="1"/>
    <xf numFmtId="0" fontId="9" fillId="5" borderId="12" xfId="0" applyFont="1" applyFill="1" applyBorder="1" applyAlignment="1">
      <alignment horizontal="center"/>
    </xf>
    <xf numFmtId="0" fontId="0" fillId="0" borderId="0" xfId="0" applyFont="1" applyAlignment="1">
      <alignment wrapText="1"/>
    </xf>
    <xf numFmtId="0" fontId="10" fillId="0" borderId="12" xfId="0" applyFont="1" applyBorder="1" applyAlignment="1">
      <alignment wrapText="1"/>
    </xf>
    <xf numFmtId="0" fontId="0" fillId="0" borderId="0" xfId="0" applyFont="1" applyAlignment="1"/>
    <xf numFmtId="0" fontId="20" fillId="0" borderId="12" xfId="0" applyFont="1" applyFill="1" applyBorder="1" applyAlignment="1">
      <alignment horizontal="left" vertical="center" wrapText="1"/>
    </xf>
    <xf numFmtId="0" fontId="21" fillId="0" borderId="12" xfId="0" applyFont="1" applyBorder="1" applyAlignment="1">
      <alignment wrapText="1"/>
    </xf>
    <xf numFmtId="164" fontId="0" fillId="0" borderId="0" xfId="0" applyNumberFormat="1" applyFont="1"/>
    <xf numFmtId="0" fontId="0" fillId="0" borderId="0" xfId="0" applyFont="1" applyAlignment="1">
      <alignment horizontal="left" indent="1"/>
    </xf>
    <xf numFmtId="0" fontId="0" fillId="0" borderId="0" xfId="0" applyFont="1" applyAlignment="1">
      <alignment horizontal="left"/>
    </xf>
    <xf numFmtId="0" fontId="9" fillId="5" borderId="12" xfId="0" applyFont="1" applyFill="1" applyBorder="1" applyAlignment="1">
      <alignment horizontal="center" wrapText="1"/>
    </xf>
    <xf numFmtId="0" fontId="5" fillId="2" borderId="1" xfId="4" applyFont="1" applyFill="1" applyBorder="1" applyAlignment="1">
      <alignment horizontal="center" wrapText="1"/>
    </xf>
    <xf numFmtId="0" fontId="5" fillId="2" borderId="21" xfId="0" applyFont="1" applyFill="1" applyBorder="1" applyAlignment="1">
      <alignment horizontal="center" wrapText="1"/>
    </xf>
    <xf numFmtId="0" fontId="5" fillId="0" borderId="4" xfId="4" applyFont="1" applyFill="1" applyBorder="1" applyAlignment="1">
      <alignment vertical="center" wrapText="1"/>
    </xf>
    <xf numFmtId="10" fontId="0" fillId="0" borderId="0" xfId="0" applyNumberFormat="1" applyFont="1"/>
    <xf numFmtId="0" fontId="6" fillId="2" borderId="27" xfId="4" applyFont="1" applyFill="1" applyBorder="1" applyAlignment="1">
      <alignment horizontal="center" wrapText="1"/>
    </xf>
    <xf numFmtId="3" fontId="23" fillId="2" borderId="5" xfId="4" applyNumberFormat="1" applyFont="1" applyFill="1" applyBorder="1" applyAlignment="1">
      <alignment horizontal="center" wrapText="1"/>
    </xf>
    <xf numFmtId="0" fontId="6" fillId="2" borderId="29" xfId="4" applyFont="1" applyFill="1" applyBorder="1" applyAlignment="1">
      <alignment horizontal="center" wrapText="1"/>
    </xf>
    <xf numFmtId="0" fontId="6" fillId="2" borderId="28" xfId="4" applyFont="1" applyFill="1" applyBorder="1" applyAlignment="1">
      <alignment horizontal="center" wrapText="1"/>
    </xf>
    <xf numFmtId="0" fontId="2" fillId="2" borderId="19" xfId="4" applyFont="1" applyFill="1" applyBorder="1" applyAlignment="1">
      <alignment horizontal="center" wrapText="1"/>
    </xf>
    <xf numFmtId="0" fontId="6" fillId="2" borderId="25" xfId="4" applyFont="1" applyFill="1" applyBorder="1" applyAlignment="1">
      <alignment horizontal="center" wrapText="1"/>
    </xf>
    <xf numFmtId="0" fontId="24" fillId="2" borderId="12" xfId="4" applyFont="1" applyFill="1" applyBorder="1" applyAlignment="1">
      <alignment horizontal="center" wrapText="1"/>
    </xf>
    <xf numFmtId="0" fontId="24" fillId="2" borderId="24" xfId="4" applyFont="1" applyFill="1" applyBorder="1" applyAlignment="1">
      <alignment horizontal="center" wrapText="1"/>
    </xf>
    <xf numFmtId="0" fontId="5" fillId="0" borderId="7" xfId="0" applyFont="1" applyBorder="1" applyAlignment="1">
      <alignment horizontal="left" vertical="center"/>
    </xf>
    <xf numFmtId="0" fontId="0" fillId="0" borderId="7" xfId="0" applyFont="1" applyBorder="1" applyAlignment="1">
      <alignment horizontal="left" vertical="center"/>
    </xf>
    <xf numFmtId="0" fontId="0" fillId="0" borderId="0" xfId="0" applyFont="1" applyAlignment="1">
      <alignment vertical="center"/>
    </xf>
    <xf numFmtId="0" fontId="16" fillId="3" borderId="7" xfId="0" applyFont="1" applyFill="1" applyBorder="1" applyAlignment="1">
      <alignment vertical="center"/>
    </xf>
    <xf numFmtId="0" fontId="0" fillId="3" borderId="0" xfId="0" applyFill="1" applyAlignment="1">
      <alignment vertical="center"/>
    </xf>
    <xf numFmtId="0" fontId="0" fillId="0" borderId="0" xfId="0" applyFont="1" applyBorder="1" applyAlignment="1">
      <alignment vertical="center"/>
    </xf>
    <xf numFmtId="0" fontId="21" fillId="0" borderId="7" xfId="0" applyFont="1" applyBorder="1" applyAlignment="1">
      <alignment vertical="center"/>
    </xf>
    <xf numFmtId="0" fontId="14" fillId="3" borderId="7" xfId="0" applyFont="1" applyFill="1" applyBorder="1" applyAlignment="1">
      <alignment vertical="center"/>
    </xf>
    <xf numFmtId="164" fontId="5" fillId="3" borderId="7" xfId="0" applyNumberFormat="1" applyFont="1" applyFill="1" applyBorder="1" applyAlignment="1">
      <alignment vertical="center"/>
    </xf>
    <xf numFmtId="0" fontId="0" fillId="3" borderId="7" xfId="0" applyFont="1" applyFill="1" applyBorder="1" applyAlignment="1">
      <alignment vertical="center"/>
    </xf>
    <xf numFmtId="0" fontId="30" fillId="0" borderId="7" xfId="0" applyFont="1" applyBorder="1" applyAlignment="1">
      <alignment horizontal="left" vertical="center"/>
    </xf>
    <xf numFmtId="0" fontId="0" fillId="0" borderId="0" xfId="0" applyAlignment="1">
      <alignment vertical="center"/>
    </xf>
    <xf numFmtId="0" fontId="11" fillId="0" borderId="7" xfId="0" applyFont="1" applyBorder="1" applyAlignment="1">
      <alignment vertical="center"/>
    </xf>
    <xf numFmtId="0" fontId="18" fillId="0" borderId="7" xfId="0" applyFont="1" applyBorder="1" applyAlignment="1">
      <alignment vertical="center"/>
    </xf>
    <xf numFmtId="0" fontId="30" fillId="0" borderId="0" xfId="0" applyFont="1" applyBorder="1" applyAlignment="1">
      <alignment vertical="center"/>
    </xf>
    <xf numFmtId="0" fontId="30" fillId="0" borderId="0" xfId="0" applyFont="1" applyAlignment="1">
      <alignment vertical="center"/>
    </xf>
    <xf numFmtId="0" fontId="11" fillId="0" borderId="0" xfId="0" applyFont="1" applyBorder="1" applyAlignment="1">
      <alignment vertical="center"/>
    </xf>
    <xf numFmtId="0" fontId="13" fillId="2" borderId="22" xfId="0" applyFont="1" applyFill="1" applyBorder="1" applyAlignment="1">
      <alignment horizontal="left" wrapText="1"/>
    </xf>
    <xf numFmtId="0" fontId="6" fillId="2" borderId="12" xfId="4" applyFont="1" applyFill="1" applyBorder="1" applyAlignment="1">
      <alignment horizontal="center" vertical="center" wrapText="1"/>
    </xf>
    <xf numFmtId="0" fontId="35" fillId="0" borderId="0" xfId="11" applyFont="1" applyAlignment="1">
      <alignment vertical="center"/>
    </xf>
    <xf numFmtId="0" fontId="16" fillId="0" borderId="7" xfId="0" applyFont="1" applyBorder="1" applyAlignment="1">
      <alignment horizontal="left" vertical="center"/>
    </xf>
    <xf numFmtId="0" fontId="11" fillId="0" borderId="7" xfId="0" applyFont="1" applyBorder="1" applyAlignment="1">
      <alignment horizontal="left" vertical="center"/>
    </xf>
    <xf numFmtId="0" fontId="11" fillId="0" borderId="15" xfId="0" applyFont="1" applyBorder="1" applyAlignment="1">
      <alignment horizontal="left" vertical="center"/>
    </xf>
    <xf numFmtId="0" fontId="11" fillId="0" borderId="3" xfId="0" applyFont="1" applyBorder="1" applyAlignment="1">
      <alignment horizontal="left" vertical="center"/>
    </xf>
    <xf numFmtId="0" fontId="38" fillId="0" borderId="3" xfId="0" applyFont="1" applyBorder="1" applyAlignment="1">
      <alignment horizontal="left" vertical="center"/>
    </xf>
    <xf numFmtId="0" fontId="0" fillId="0" borderId="0" xfId="0" applyBorder="1" applyAlignment="1">
      <alignment vertical="center"/>
    </xf>
    <xf numFmtId="0" fontId="5" fillId="0" borderId="0" xfId="0" applyFont="1" applyAlignment="1">
      <alignment vertical="center"/>
    </xf>
    <xf numFmtId="0" fontId="5" fillId="0" borderId="0" xfId="0" applyFont="1" applyBorder="1" applyAlignment="1">
      <alignment vertical="center"/>
    </xf>
    <xf numFmtId="164" fontId="10" fillId="3" borderId="0" xfId="0" applyNumberFormat="1" applyFont="1" applyFill="1" applyAlignment="1">
      <alignment vertical="center"/>
    </xf>
    <xf numFmtId="0" fontId="0" fillId="3" borderId="0" xfId="0" applyNumberFormat="1" applyFill="1" applyAlignment="1">
      <alignment vertical="center"/>
    </xf>
    <xf numFmtId="0" fontId="2" fillId="2" borderId="9" xfId="4" applyFont="1" applyFill="1" applyBorder="1" applyAlignment="1">
      <alignment horizontal="center" wrapText="1"/>
    </xf>
    <xf numFmtId="0" fontId="9" fillId="8" borderId="12" xfId="0" applyFont="1" applyFill="1" applyBorder="1" applyAlignment="1">
      <alignment horizontal="center" wrapText="1"/>
    </xf>
    <xf numFmtId="0" fontId="37" fillId="0" borderId="0" xfId="11" applyFont="1" applyAlignment="1">
      <alignment vertical="center"/>
    </xf>
    <xf numFmtId="0" fontId="0" fillId="0" borderId="0" xfId="0" applyNumberFormat="1" applyFill="1" applyBorder="1"/>
    <xf numFmtId="0" fontId="0" fillId="0" borderId="0" xfId="0" applyNumberFormat="1" applyFill="1"/>
    <xf numFmtId="164" fontId="10" fillId="5" borderId="12" xfId="0" applyNumberFormat="1" applyFont="1" applyFill="1" applyBorder="1" applyAlignment="1">
      <alignment horizontal="centerContinuous"/>
    </xf>
    <xf numFmtId="0" fontId="5" fillId="2" borderId="12" xfId="0" applyFont="1" applyFill="1" applyBorder="1" applyAlignment="1">
      <alignment vertical="center" wrapText="1"/>
    </xf>
    <xf numFmtId="0" fontId="9" fillId="8" borderId="12" xfId="0" applyFont="1" applyFill="1" applyBorder="1" applyAlignment="1">
      <alignment horizontal="center" vertical="center" wrapText="1"/>
    </xf>
    <xf numFmtId="164" fontId="11" fillId="3" borderId="0" xfId="0" applyNumberFormat="1" applyFont="1" applyFill="1" applyBorder="1" applyAlignment="1">
      <alignment vertical="center"/>
    </xf>
    <xf numFmtId="0" fontId="1" fillId="7" borderId="12" xfId="4" applyFont="1" applyFill="1" applyBorder="1" applyAlignment="1">
      <alignment horizontal="center" vertical="center" wrapText="1"/>
    </xf>
    <xf numFmtId="164" fontId="5" fillId="0" borderId="3" xfId="0" applyNumberFormat="1" applyFont="1" applyFill="1" applyBorder="1" applyAlignment="1">
      <alignment horizontal="left"/>
    </xf>
    <xf numFmtId="0" fontId="30" fillId="0" borderId="7" xfId="0" applyFont="1" applyBorder="1" applyAlignment="1">
      <alignment vertical="center"/>
    </xf>
    <xf numFmtId="0" fontId="11" fillId="0" borderId="0" xfId="0" applyFont="1" applyBorder="1" applyAlignment="1">
      <alignment horizontal="left" vertical="center"/>
    </xf>
    <xf numFmtId="164" fontId="12" fillId="0" borderId="12" xfId="4" applyNumberFormat="1" applyFont="1" applyBorder="1"/>
    <xf numFmtId="164" fontId="5" fillId="0" borderId="3" xfId="4" applyNumberFormat="1" applyFont="1" applyBorder="1"/>
    <xf numFmtId="164" fontId="5" fillId="0" borderId="12" xfId="4" applyNumberFormat="1" applyFont="1" applyBorder="1" applyAlignment="1">
      <alignment vertical="center" wrapText="1"/>
    </xf>
    <xf numFmtId="0" fontId="5" fillId="0" borderId="12" xfId="0" applyFont="1" applyFill="1" applyBorder="1" applyAlignment="1">
      <alignment horizontal="left" vertical="center" wrapText="1"/>
    </xf>
    <xf numFmtId="0" fontId="5" fillId="0" borderId="12" xfId="0" applyFont="1" applyBorder="1"/>
    <xf numFmtId="0" fontId="5" fillId="0" borderId="4" xfId="4" applyFont="1" applyFill="1" applyBorder="1"/>
    <xf numFmtId="0" fontId="5" fillId="0" borderId="26" xfId="4" applyFont="1" applyFill="1" applyBorder="1" applyAlignment="1">
      <alignment vertical="center" wrapText="1"/>
    </xf>
    <xf numFmtId="0" fontId="1" fillId="9" borderId="12" xfId="4" applyFont="1" applyFill="1" applyBorder="1" applyAlignment="1">
      <alignment horizontal="center" vertical="center" wrapText="1"/>
    </xf>
    <xf numFmtId="6" fontId="9" fillId="0" borderId="12" xfId="0" applyNumberFormat="1" applyFont="1" applyBorder="1"/>
    <xf numFmtId="6" fontId="9" fillId="0" borderId="12" xfId="0" applyNumberFormat="1" applyFont="1" applyBorder="1" applyAlignment="1">
      <alignment horizontal="right"/>
    </xf>
    <xf numFmtId="6" fontId="15" fillId="0" borderId="12" xfId="0" applyNumberFormat="1" applyFont="1" applyBorder="1" applyAlignment="1">
      <alignment horizontal="right"/>
    </xf>
    <xf numFmtId="0" fontId="9" fillId="10" borderId="12" xfId="0" applyFont="1" applyFill="1" applyBorder="1"/>
    <xf numFmtId="0" fontId="15" fillId="10" borderId="12" xfId="0" applyFont="1" applyFill="1" applyBorder="1"/>
    <xf numFmtId="6" fontId="9" fillId="11" borderId="12" xfId="0" applyNumberFormat="1" applyFont="1" applyFill="1" applyBorder="1"/>
    <xf numFmtId="6" fontId="15" fillId="11" borderId="12" xfId="0" applyNumberFormat="1" applyFont="1" applyFill="1" applyBorder="1"/>
    <xf numFmtId="165" fontId="9" fillId="0" borderId="12" xfId="0" applyNumberFormat="1" applyFont="1" applyBorder="1" applyAlignment="1">
      <alignment horizontal="right"/>
    </xf>
    <xf numFmtId="165" fontId="15" fillId="0" borderId="12" xfId="0" applyNumberFormat="1" applyFont="1" applyBorder="1" applyAlignment="1">
      <alignment horizontal="right"/>
    </xf>
    <xf numFmtId="0" fontId="46" fillId="5" borderId="8" xfId="2" applyFont="1" applyFill="1" applyBorder="1" applyAlignment="1" applyProtection="1">
      <alignment horizontal="center" wrapText="1"/>
    </xf>
    <xf numFmtId="0" fontId="46" fillId="2" borderId="18" xfId="2" applyFont="1" applyFill="1" applyBorder="1" applyAlignment="1" applyProtection="1">
      <alignment horizontal="center" wrapText="1"/>
    </xf>
    <xf numFmtId="6" fontId="0" fillId="0" borderId="0" xfId="0" applyNumberFormat="1" applyFont="1"/>
    <xf numFmtId="0" fontId="22" fillId="0" borderId="12" xfId="0" applyFont="1" applyBorder="1" applyAlignment="1">
      <alignment vertical="top" wrapText="1"/>
    </xf>
    <xf numFmtId="0" fontId="47" fillId="0" borderId="0" xfId="0" applyFont="1" applyBorder="1" applyAlignment="1">
      <alignment horizontal="left"/>
    </xf>
    <xf numFmtId="0" fontId="3" fillId="0" borderId="0" xfId="0" applyFont="1" applyBorder="1" applyAlignment="1">
      <alignment horizontal="left" vertical="top" wrapText="1"/>
    </xf>
    <xf numFmtId="0" fontId="5" fillId="2" borderId="22" xfId="0" applyFont="1" applyFill="1" applyBorder="1" applyAlignment="1">
      <alignment horizontal="center" wrapText="1"/>
    </xf>
    <xf numFmtId="164" fontId="5" fillId="3" borderId="12" xfId="0" applyNumberFormat="1" applyFont="1" applyFill="1" applyBorder="1" applyAlignment="1">
      <alignment horizontal="right"/>
    </xf>
    <xf numFmtId="0" fontId="38" fillId="0" borderId="10" xfId="0" applyFont="1" applyBorder="1" applyAlignment="1">
      <alignment horizontal="left" vertical="center"/>
    </xf>
    <xf numFmtId="0" fontId="9" fillId="8" borderId="3" xfId="0" applyFont="1" applyFill="1" applyBorder="1" applyAlignment="1">
      <alignment horizontal="center" wrapText="1"/>
    </xf>
    <xf numFmtId="0" fontId="38" fillId="0" borderId="7" xfId="0" applyFont="1" applyBorder="1" applyAlignment="1">
      <alignment horizontal="left" vertical="center"/>
    </xf>
    <xf numFmtId="0" fontId="5" fillId="0" borderId="31" xfId="4" applyFont="1" applyFill="1" applyBorder="1"/>
    <xf numFmtId="0" fontId="1" fillId="0" borderId="32" xfId="4" applyFont="1" applyFill="1" applyBorder="1"/>
    <xf numFmtId="0" fontId="5" fillId="0" borderId="31" xfId="4" applyFont="1" applyBorder="1"/>
    <xf numFmtId="0" fontId="5" fillId="0" borderId="22" xfId="4" applyFont="1" applyBorder="1"/>
    <xf numFmtId="0" fontId="1" fillId="0" borderId="32" xfId="4" applyFont="1" applyFill="1" applyBorder="1" applyAlignment="1">
      <alignment vertical="top"/>
    </xf>
    <xf numFmtId="164" fontId="10" fillId="0" borderId="0" xfId="0" applyNumberFormat="1" applyFont="1" applyAlignment="1">
      <alignment vertical="top"/>
    </xf>
    <xf numFmtId="0" fontId="0" fillId="0" borderId="0" xfId="0" applyAlignment="1">
      <alignment vertical="top"/>
    </xf>
    <xf numFmtId="164" fontId="4" fillId="0" borderId="0" xfId="0" applyNumberFormat="1" applyFont="1" applyAlignment="1">
      <alignment vertical="top"/>
    </xf>
    <xf numFmtId="0" fontId="5" fillId="0" borderId="0" xfId="0" applyFont="1" applyAlignment="1">
      <alignment vertical="top"/>
    </xf>
    <xf numFmtId="0" fontId="45" fillId="0" borderId="0" xfId="0" applyFont="1" applyAlignment="1">
      <alignment vertical="top"/>
    </xf>
    <xf numFmtId="0" fontId="0" fillId="0" borderId="0" xfId="0" applyNumberFormat="1" applyAlignment="1">
      <alignment vertical="top"/>
    </xf>
    <xf numFmtId="0" fontId="1" fillId="0" borderId="1" xfId="4" applyFont="1" applyFill="1" applyBorder="1" applyAlignment="1">
      <alignment horizontal="left" vertical="top"/>
    </xf>
    <xf numFmtId="0" fontId="5" fillId="0" borderId="33" xfId="4" applyFont="1" applyBorder="1"/>
    <xf numFmtId="0" fontId="43" fillId="0" borderId="32" xfId="0" applyFont="1" applyFill="1" applyBorder="1" applyAlignment="1"/>
    <xf numFmtId="0" fontId="10" fillId="0" borderId="22" xfId="0" applyFont="1" applyBorder="1" applyAlignment="1">
      <alignment wrapText="1"/>
    </xf>
    <xf numFmtId="0" fontId="22" fillId="0" borderId="22" xfId="0" applyFont="1" applyBorder="1" applyAlignment="1">
      <alignment wrapText="1"/>
    </xf>
    <xf numFmtId="0" fontId="39" fillId="0" borderId="0" xfId="0" applyNumberFormat="1" applyFont="1" applyAlignment="1">
      <alignment horizontal="centerContinuous" vertical="top" wrapText="1"/>
    </xf>
    <xf numFmtId="0" fontId="3" fillId="0" borderId="30" xfId="0" applyFont="1" applyBorder="1" applyAlignment="1">
      <alignment horizontal="left" vertical="top" wrapText="1"/>
    </xf>
    <xf numFmtId="0" fontId="0" fillId="0" borderId="0" xfId="0" applyAlignment="1">
      <alignment horizontal="left" vertical="top" wrapText="1"/>
    </xf>
  </cellXfs>
  <cellStyles count="14">
    <cellStyle name="Comma 2" xfId="1" xr:uid="{00000000-0005-0000-0000-000000000000}"/>
    <cellStyle name="Comma 3" xfId="9" xr:uid="{00000000-0005-0000-0000-000001000000}"/>
    <cellStyle name="Currency 2" xfId="6" xr:uid="{00000000-0005-0000-0000-000002000000}"/>
    <cellStyle name="Hyperlink" xfId="11" builtinId="8"/>
    <cellStyle name="Hyperlink 2" xfId="2" xr:uid="{00000000-0005-0000-0000-000004000000}"/>
    <cellStyle name="Normal" xfId="0" builtinId="0"/>
    <cellStyle name="Normal 2" xfId="3" xr:uid="{00000000-0005-0000-0000-000006000000}"/>
    <cellStyle name="Normal 2 2" xfId="8" xr:uid="{00000000-0005-0000-0000-000007000000}"/>
    <cellStyle name="Normal 3" xfId="4" xr:uid="{00000000-0005-0000-0000-000008000000}"/>
    <cellStyle name="Normal 4" xfId="7" xr:uid="{00000000-0005-0000-0000-000009000000}"/>
    <cellStyle name="Normal 5" xfId="10" xr:uid="{00000000-0005-0000-0000-00000A000000}"/>
    <cellStyle name="Normal 6" xfId="12" xr:uid="{00000000-0005-0000-0000-00000B000000}"/>
    <cellStyle name="Percent" xfId="13" builtinId="5"/>
    <cellStyle name="Percent 2" xfId="5" xr:uid="{00000000-0005-0000-0000-00000D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A12854"/>
      <color rgb="FF711C3B"/>
      <color rgb="FFD6EDBD"/>
      <color rgb="FFCAE8AA"/>
      <color rgb="FF808080"/>
      <color rgb="FF5F5F5F"/>
      <color rgb="FF7777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74" Type="http://schemas.openxmlformats.org/officeDocument/2006/relationships/styles" Target="styles.xml"/><Relationship Id="rId79" Type="http://schemas.openxmlformats.org/officeDocument/2006/relationships/customXml" Target="../customXml/item3.xml"/><Relationship Id="rId22" Type="http://schemas.openxmlformats.org/officeDocument/2006/relationships/worksheet" Target="worksheets/sheet22.xml"/><Relationship Id="rId77" Type="http://schemas.openxmlformats.org/officeDocument/2006/relationships/customXml" Target="../customXml/item1.xml"/><Relationship Id="rId72" Type="http://schemas.openxmlformats.org/officeDocument/2006/relationships/externalLink" Target="externalLinks/externalLink2.xml"/><Relationship Id="rId3" Type="http://schemas.openxmlformats.org/officeDocument/2006/relationships/worksheet" Target="worksheets/sheet3.xml"/><Relationship Id="rId70" Type="http://schemas.openxmlformats.org/officeDocument/2006/relationships/worksheet" Target="worksheets/sheet70.xml"/><Relationship Id="rId75" Type="http://schemas.openxmlformats.org/officeDocument/2006/relationships/sharedStrings" Target="sharedStrings.xml"/><Relationship Id="rId73" Type="http://schemas.openxmlformats.org/officeDocument/2006/relationships/theme" Target="theme/theme1.xml"/><Relationship Id="rId78" Type="http://schemas.openxmlformats.org/officeDocument/2006/relationships/customXml" Target="../customXml/item2.xml"/><Relationship Id="rId9" Type="http://schemas.openxmlformats.org/officeDocument/2006/relationships/worksheet" Target="worksheets/sheet9.xml"/><Relationship Id="rId7" Type="http://schemas.openxmlformats.org/officeDocument/2006/relationships/worksheet" Target="worksheets/sheet7.xml"/><Relationship Id="rId71"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0</xdr:rowOff>
    </xdr:from>
    <xdr:to>
      <xdr:col>8</xdr:col>
      <xdr:colOff>444500</xdr:colOff>
      <xdr:row>172</xdr:row>
      <xdr:rowOff>124691</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76200" y="0"/>
          <a:ext cx="6908800" cy="32906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effectLst/>
              <a:latin typeface="+mn-lt"/>
              <a:ea typeface="+mn-ea"/>
              <a:cs typeface="+mn-cs"/>
            </a:rPr>
            <a:t>Reader’s Guide to Federal Temporary Assistance for Needy Families (TANF) and State Maintenance-of-Effort (MOE) Financial Data</a:t>
          </a:r>
        </a:p>
        <a:p>
          <a:r>
            <a:rPr lang="en-US" sz="1100">
              <a:solidFill>
                <a:schemeClr val="dk1"/>
              </a:solidFill>
              <a:effectLst/>
              <a:latin typeface="+mn-lt"/>
              <a:ea typeface="+mn-ea"/>
              <a:cs typeface="+mn-cs"/>
            </a:rPr>
            <a:t>These tables display</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federal TANF and state MOE expenditure</a:t>
          </a:r>
          <a:r>
            <a:rPr lang="en-US" sz="1100" baseline="0">
              <a:solidFill>
                <a:schemeClr val="dk1"/>
              </a:solidFill>
              <a:effectLst/>
              <a:latin typeface="+mn-lt"/>
              <a:ea typeface="+mn-ea"/>
              <a:cs typeface="+mn-cs"/>
            </a:rPr>
            <a:t> data</a:t>
          </a:r>
          <a:r>
            <a:rPr lang="en-US" sz="1100">
              <a:solidFill>
                <a:schemeClr val="dk1"/>
              </a:solidFill>
              <a:effectLst/>
              <a:latin typeface="+mn-lt"/>
              <a:ea typeface="+mn-ea"/>
              <a:cs typeface="+mn-cs"/>
            </a:rPr>
            <a:t>. As a condition of receiving federal TANF funds, states are required to spend a certain amount of their own funds (MOE) on TANF-allowable categories. Expenditures are grouped into 20 main categories, as defined below. </a:t>
          </a:r>
          <a:r>
            <a:rPr lang="en-US" sz="1100" i="1">
              <a:solidFill>
                <a:schemeClr val="dk1"/>
              </a:solidFill>
              <a:effectLst/>
              <a:latin typeface="+mn-lt"/>
              <a:ea typeface="+mn-ea"/>
              <a:cs typeface="+mn-cs"/>
            </a:rPr>
            <a:t>Transitional Services for Employed</a:t>
          </a:r>
          <a:r>
            <a:rPr lang="en-US" sz="1100">
              <a:solidFill>
                <a:schemeClr val="dk1"/>
              </a:solidFill>
              <a:effectLst/>
              <a:latin typeface="+mn-lt"/>
              <a:ea typeface="+mn-ea"/>
              <a:cs typeface="+mn-cs"/>
            </a:rPr>
            <a:t> and </a:t>
          </a:r>
          <a:r>
            <a:rPr lang="en-US" sz="1100" i="1">
              <a:solidFill>
                <a:schemeClr val="dk1"/>
              </a:solidFill>
              <a:effectLst/>
              <a:latin typeface="+mn-lt"/>
              <a:ea typeface="+mn-ea"/>
              <a:cs typeface="+mn-cs"/>
            </a:rPr>
            <a:t>Job Access </a:t>
          </a:r>
          <a:r>
            <a:rPr lang="en-US" sz="1100">
              <a:solidFill>
                <a:schemeClr val="dk1"/>
              </a:solidFill>
              <a:effectLst/>
              <a:latin typeface="+mn-lt"/>
              <a:ea typeface="+mn-ea"/>
              <a:cs typeface="+mn-cs"/>
            </a:rPr>
            <a:t>expenditures, which can be found in the tab </a:t>
          </a:r>
          <a:r>
            <a:rPr lang="en-US" sz="1100" i="1">
              <a:solidFill>
                <a:schemeClr val="dk1"/>
              </a:solidFill>
              <a:effectLst/>
              <a:latin typeface="+mn-lt"/>
              <a:ea typeface="+mn-ea"/>
              <a:cs typeface="+mn-cs"/>
            </a:rPr>
            <a:t>F. Appendix</a:t>
          </a:r>
          <a:r>
            <a:rPr lang="en-US" sz="1100" i="0">
              <a:solidFill>
                <a:schemeClr val="dk1"/>
              </a:solidFill>
              <a:effectLst/>
              <a:latin typeface="+mn-lt"/>
              <a:ea typeface="+mn-ea"/>
              <a:cs typeface="+mn-cs"/>
            </a:rPr>
            <a:t>, are also defined below</a:t>
          </a:r>
          <a:r>
            <a:rPr lang="en-US" sz="1100">
              <a:solidFill>
                <a:schemeClr val="dk1"/>
              </a:solidFill>
              <a:effectLst/>
              <a:latin typeface="+mn-lt"/>
              <a:ea typeface="+mn-ea"/>
              <a:cs typeface="+mn-cs"/>
            </a:rPr>
            <a:t>. For more information about</a:t>
          </a:r>
          <a:r>
            <a:rPr lang="en-US" sz="1100" baseline="0">
              <a:solidFill>
                <a:schemeClr val="dk1"/>
              </a:solidFill>
              <a:effectLst/>
              <a:latin typeface="+mn-lt"/>
              <a:ea typeface="+mn-ea"/>
              <a:cs typeface="+mn-cs"/>
            </a:rPr>
            <a:t> the </a:t>
          </a:r>
          <a:r>
            <a:rPr lang="en-US" sz="1100">
              <a:solidFill>
                <a:schemeClr val="dk1"/>
              </a:solidFill>
              <a:effectLst/>
              <a:latin typeface="+mn-lt"/>
              <a:ea typeface="+mn-ea"/>
              <a:cs typeface="+mn-cs"/>
            </a:rPr>
            <a:t>expenditure categories and the new financial reporting form ACF-196-R, see the </a:t>
          </a:r>
          <a:r>
            <a:rPr lang="en-US" sz="1100" i="1">
              <a:solidFill>
                <a:schemeClr val="dk1"/>
              </a:solidFill>
              <a:effectLst/>
              <a:latin typeface="+mn-lt"/>
              <a:ea typeface="+mn-ea"/>
              <a:cs typeface="+mn-cs"/>
            </a:rPr>
            <a:t>Instructions for completion of State Financial Report Forms: ACF-196R and ACF-196 </a:t>
          </a:r>
          <a:r>
            <a:rPr lang="en-US" sz="1100" u="sng">
              <a:solidFill>
                <a:schemeClr val="dk1"/>
              </a:solidFill>
              <a:effectLst/>
              <a:latin typeface="+mn-lt"/>
              <a:ea typeface="+mn-ea"/>
              <a:cs typeface="+mn-cs"/>
              <a:hlinkClick xmlns:r="http://schemas.openxmlformats.org/officeDocument/2006/relationships" r:id=""/>
            </a:rPr>
            <a:t>https://www.acf.hhs.gov/sites/default/files/ofa/acf_196r_instructions_final.pdf</a:t>
          </a:r>
          <a:r>
            <a:rPr lang="en-US" sz="1100">
              <a:solidFill>
                <a:schemeClr val="dk1"/>
              </a:solidFill>
              <a:effectLst/>
              <a:latin typeface="+mn-lt"/>
              <a:ea typeface="+mn-ea"/>
              <a:cs typeface="+mn-cs"/>
            </a:rPr>
            <a:t>.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Basic Assistance</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Cash, payments, vouchers, and other forms of benefits designed to meet a family's ongoing basic needs (i.e., for food, clothing, shelter, utilities, household goods, personal care items, and general incidental expenses).  </a:t>
          </a:r>
        </a:p>
        <a:p>
          <a:pPr lvl="1"/>
          <a:r>
            <a:rPr lang="en-US" sz="1100" b="1" i="1" u="none" strike="noStrike">
              <a:solidFill>
                <a:schemeClr val="dk1"/>
              </a:solidFill>
              <a:effectLst/>
              <a:latin typeface="+mn-lt"/>
              <a:ea typeface="+mn-ea"/>
              <a:cs typeface="+mn-cs"/>
            </a:rPr>
            <a:t>Basic Assistance (excluding Payments for Relative Foster Care, and Adoption and Guardianship Subsidies)</a:t>
          </a:r>
          <a:r>
            <a:rPr lang="en-US" sz="1100" u="none" strike="noStrike">
              <a:solidFill>
                <a:schemeClr val="dk1"/>
              </a:solidFill>
              <a:effectLst/>
              <a:latin typeface="+mn-lt"/>
              <a:ea typeface="+mn-ea"/>
              <a:cs typeface="+mn-cs"/>
            </a:rPr>
            <a:t>:</a:t>
          </a:r>
          <a:r>
            <a:rPr lang="en-US" sz="1100" b="1" u="none" strike="noStrike">
              <a:solidFill>
                <a:schemeClr val="dk1"/>
              </a:solidFill>
              <a:effectLst/>
              <a:latin typeface="+mn-lt"/>
              <a:ea typeface="+mn-ea"/>
              <a:cs typeface="+mn-cs"/>
            </a:rPr>
            <a:t> </a:t>
          </a:r>
          <a:r>
            <a:rPr lang="en-US" sz="1100" u="none" strike="noStrike">
              <a:solidFill>
                <a:schemeClr val="dk1"/>
              </a:solidFill>
              <a:effectLst/>
              <a:latin typeface="+mn-lt"/>
              <a:ea typeface="+mn-ea"/>
              <a:cs typeface="+mn-cs"/>
            </a:rPr>
            <a:t>includes payments on behalf of children for whom the child welfare agency does not have legal care and responsibility who are living with caretaker relatives and child support pass-through payments.</a:t>
          </a:r>
        </a:p>
        <a:p>
          <a:pPr lvl="1"/>
          <a:r>
            <a:rPr lang="en-US" sz="1100" b="1" i="1" u="none" strike="noStrike">
              <a:solidFill>
                <a:schemeClr val="dk1"/>
              </a:solidFill>
              <a:effectLst/>
              <a:latin typeface="+mn-lt"/>
              <a:ea typeface="+mn-ea"/>
              <a:cs typeface="+mn-cs"/>
            </a:rPr>
            <a:t>Relative Foster Care Maintenance Payments and Adoption and Guardianship Subsidies</a:t>
          </a:r>
          <a:r>
            <a:rPr lang="en-US" sz="1100" u="none" strike="noStrike">
              <a:solidFill>
                <a:schemeClr val="dk1"/>
              </a:solidFill>
              <a:effectLst/>
              <a:latin typeface="+mn-lt"/>
              <a:ea typeface="+mn-ea"/>
              <a:cs typeface="+mn-cs"/>
            </a:rPr>
            <a:t>: basic assistance provided on behalf of a child or children for whom the child welfare agency has legal placement and care responsibility and is living with a caretaker relative, or child or children living with legal guardians; ongoing adoption subsidies; and expenditures for payments made to foster parents standing in loco parentis, if state law provides.  </a:t>
          </a:r>
          <a:r>
            <a:rPr lang="en-US" sz="1100" i="1" u="none" strike="noStrike">
              <a:solidFill>
                <a:schemeClr val="dk1"/>
              </a:solidFill>
              <a:effectLst/>
              <a:latin typeface="+mn-lt"/>
              <a:ea typeface="+mn-ea"/>
              <a:cs typeface="+mn-cs"/>
            </a:rPr>
            <a:t>Note: </a:t>
          </a:r>
          <a:r>
            <a:rPr lang="en-US" sz="1100" u="none" strike="noStrike">
              <a:solidFill>
                <a:schemeClr val="dk1"/>
              </a:solidFill>
              <a:effectLst/>
              <a:latin typeface="+mn-lt"/>
              <a:ea typeface="+mn-ea"/>
              <a:cs typeface="+mn-cs"/>
            </a:rPr>
            <a:t>All expenditures are for cases that are not eligible for IV-E foster care assistance or subsidies. </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Assistance </a:t>
          </a:r>
          <a:r>
            <a:rPr lang="x-none" sz="1100" b="1">
              <a:solidFill>
                <a:schemeClr val="dk1"/>
              </a:solidFill>
              <a:effectLst/>
              <a:latin typeface="+mn-lt"/>
              <a:ea typeface="+mn-ea"/>
              <a:cs typeface="+mn-cs"/>
            </a:rPr>
            <a:t>Authorized </a:t>
          </a:r>
          <a:r>
            <a:rPr lang="en-US" sz="1100" b="1">
              <a:solidFill>
                <a:schemeClr val="dk1"/>
              </a:solidFill>
              <a:effectLst/>
              <a:latin typeface="+mn-lt"/>
              <a:ea typeface="+mn-ea"/>
              <a:cs typeface="+mn-cs"/>
            </a:rPr>
            <a:t>Solely </a:t>
          </a:r>
          <a:r>
            <a:rPr lang="x-none" sz="1100" b="1">
              <a:solidFill>
                <a:schemeClr val="dk1"/>
              </a:solidFill>
              <a:effectLst/>
              <a:latin typeface="+mn-lt"/>
              <a:ea typeface="+mn-ea"/>
              <a:cs typeface="+mn-cs"/>
            </a:rPr>
            <a:t>Under Prior Law </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Activities that are not otherwise consistent with the purposes of TANF and/or with the prohibitions in section 408, but are allowable expenditures of federal TANF funds as activities that were in effect on September 30, 1995, or (at the option of the state) August 21, 1996.  </a:t>
          </a:r>
        </a:p>
        <a:p>
          <a:r>
            <a:rPr lang="en-US" sz="1100" i="1">
              <a:solidFill>
                <a:schemeClr val="dk1"/>
              </a:solidFill>
              <a:effectLst/>
              <a:latin typeface="+mn-lt"/>
              <a:ea typeface="+mn-ea"/>
              <a:cs typeface="+mn-cs"/>
            </a:rPr>
            <a:t>Note:</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states may not report MOE expenditures in this category; all state MOE expenditures must be consistent with the purposes of TANF.</a:t>
          </a:r>
        </a:p>
        <a:p>
          <a:pPr lvl="1"/>
          <a:r>
            <a:rPr lang="en-US" sz="1100" b="1" i="1">
              <a:solidFill>
                <a:schemeClr val="dk1"/>
              </a:solidFill>
              <a:effectLst/>
              <a:latin typeface="+mn-lt"/>
              <a:ea typeface="+mn-ea"/>
              <a:cs typeface="+mn-cs"/>
            </a:rPr>
            <a:t>Foster Care Payments:</a:t>
          </a:r>
          <a:r>
            <a:rPr lang="en-US" sz="1100">
              <a:solidFill>
                <a:schemeClr val="dk1"/>
              </a:solidFill>
              <a:effectLst/>
              <a:latin typeface="+mn-lt"/>
              <a:ea typeface="+mn-ea"/>
              <a:cs typeface="+mn-cs"/>
            </a:rPr>
            <a:t> foster care assistance on behalf of children, authorized solely under section 404(a)(2) of the Act and referenced in a state’s former AFDC or Emergency Assistance plan. </a:t>
          </a:r>
        </a:p>
        <a:p>
          <a:pPr lvl="1"/>
          <a:r>
            <a:rPr lang="en-US" sz="1100" b="1" i="1">
              <a:solidFill>
                <a:schemeClr val="dk1"/>
              </a:solidFill>
              <a:effectLst/>
              <a:latin typeface="+mn-lt"/>
              <a:ea typeface="+mn-ea"/>
              <a:cs typeface="+mn-cs"/>
            </a:rPr>
            <a:t>Juvenile Justice Payments: </a:t>
          </a:r>
          <a:r>
            <a:rPr lang="en-US" sz="1100">
              <a:solidFill>
                <a:schemeClr val="dk1"/>
              </a:solidFill>
              <a:effectLst/>
              <a:latin typeface="+mn-lt"/>
              <a:ea typeface="+mn-ea"/>
              <a:cs typeface="+mn-cs"/>
            </a:rPr>
            <a:t>assistance payments on behalf of children in the state’s juvenile justice system, authorized solely under section 404(a)(2) of the Act and referenced in a state’s former AFDC or Emergency Assistance plan.</a:t>
          </a:r>
        </a:p>
        <a:p>
          <a:pPr lvl="1"/>
          <a:r>
            <a:rPr lang="en-US" sz="1100" b="1" i="1">
              <a:solidFill>
                <a:schemeClr val="dk1"/>
              </a:solidFill>
              <a:effectLst/>
              <a:latin typeface="+mn-lt"/>
              <a:ea typeface="+mn-ea"/>
              <a:cs typeface="+mn-cs"/>
            </a:rPr>
            <a:t>Emergency Assistance Authorized Solely Under Prior Law</a:t>
          </a:r>
          <a:r>
            <a:rPr lang="en-US" sz="1100" b="1">
              <a:solidFill>
                <a:schemeClr val="dk1"/>
              </a:solidFill>
              <a:effectLst/>
              <a:latin typeface="+mn-lt"/>
              <a:ea typeface="+mn-ea"/>
              <a:cs typeface="+mn-cs"/>
            </a:rPr>
            <a:t>:</a:t>
          </a:r>
          <a:r>
            <a:rPr lang="en-US" sz="1100">
              <a:solidFill>
                <a:schemeClr val="dk1"/>
              </a:solidFill>
              <a:effectLst/>
              <a:latin typeface="+mn-lt"/>
              <a:ea typeface="+mn-ea"/>
              <a:cs typeface="+mn-cs"/>
            </a:rPr>
            <a:t> other benefits authorized solely under section 404(a)(2) of the Act and referenced in a state’s former AFDC or Emergency Assistance plan.</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Non-Assistance Authorized Solely Under Prior Law</a:t>
          </a:r>
        </a:p>
        <a:p>
          <a:r>
            <a:rPr lang="en-US" sz="1100">
              <a:solidFill>
                <a:schemeClr val="dk1"/>
              </a:solidFill>
              <a:effectLst/>
              <a:latin typeface="+mn-lt"/>
              <a:ea typeface="+mn-ea"/>
              <a:cs typeface="+mn-cs"/>
            </a:rPr>
            <a:t>Activities that are not otherwise consistent with the purposes of TANF and/or with the prohibitions in section 408, but are allowable expenditures of federal TANF funds as activities that were in effect on September 30, 1995, or (at the option of the state) August 21, 1996.  </a:t>
          </a:r>
        </a:p>
        <a:p>
          <a:r>
            <a:rPr lang="en-US" sz="1100" i="1">
              <a:solidFill>
                <a:schemeClr val="dk1"/>
              </a:solidFill>
              <a:effectLst/>
              <a:latin typeface="+mn-lt"/>
              <a:ea typeface="+mn-ea"/>
              <a:cs typeface="+mn-cs"/>
            </a:rPr>
            <a:t>Note:</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states may not report MOE expenditures in this category; all state MOE expenditures must be consistent with the purposes of TANF.</a:t>
          </a:r>
        </a:p>
        <a:p>
          <a:pPr lvl="1"/>
          <a:r>
            <a:rPr lang="en-US" sz="1100" b="1" i="1">
              <a:solidFill>
                <a:schemeClr val="dk1"/>
              </a:solidFill>
              <a:effectLst/>
              <a:latin typeface="+mn-lt"/>
              <a:ea typeface="+mn-ea"/>
              <a:cs typeface="+mn-cs"/>
            </a:rPr>
            <a:t>Child Welfare or Foster Care Services</a:t>
          </a:r>
          <a:r>
            <a:rPr lang="en-US" sz="1100" b="1">
              <a:solidFill>
                <a:schemeClr val="dk1"/>
              </a:solidFill>
              <a:effectLst/>
              <a:latin typeface="+mn-lt"/>
              <a:ea typeface="+mn-ea"/>
              <a:cs typeface="+mn-cs"/>
            </a:rPr>
            <a:t>:</a:t>
          </a:r>
          <a:r>
            <a:rPr lang="en-US" sz="1100">
              <a:solidFill>
                <a:schemeClr val="dk1"/>
              </a:solidFill>
              <a:effectLst/>
              <a:latin typeface="+mn-lt"/>
              <a:ea typeface="+mn-ea"/>
              <a:cs typeface="+mn-cs"/>
            </a:rPr>
            <a:t> services provided to children and their families involved in the state’s child welfare system, authorized solely under section 404(a)(2) of the Act, and referenced in a state’s former AFDC or Emergency Assistance plan. </a:t>
          </a:r>
        </a:p>
        <a:p>
          <a:pPr lvl="1"/>
          <a:r>
            <a:rPr lang="en-US" sz="1100" b="1" i="1">
              <a:solidFill>
                <a:schemeClr val="dk1"/>
              </a:solidFill>
              <a:effectLst/>
              <a:latin typeface="+mn-lt"/>
              <a:ea typeface="+mn-ea"/>
              <a:cs typeface="+mn-cs"/>
            </a:rPr>
            <a:t>Juvenile Justice Services</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juvenile justice services provided to children, youth, and families, authorized solely under section 404(a)(2) of the Act and referenced in a state’s former AFDC or Emergency Assistance plan.</a:t>
          </a:r>
        </a:p>
        <a:p>
          <a:pPr lvl="1"/>
          <a:r>
            <a:rPr lang="en-US" sz="1100" b="1" i="1">
              <a:solidFill>
                <a:schemeClr val="dk1"/>
              </a:solidFill>
              <a:effectLst/>
              <a:latin typeface="+mn-lt"/>
              <a:ea typeface="+mn-ea"/>
              <a:cs typeface="+mn-cs"/>
            </a:rPr>
            <a:t>Emergency Services Authorized Solely Under Prior Law</a:t>
          </a:r>
          <a:r>
            <a:rPr lang="en-US" sz="1100" b="1">
              <a:solidFill>
                <a:schemeClr val="dk1"/>
              </a:solidFill>
              <a:effectLst/>
              <a:latin typeface="+mn-lt"/>
              <a:ea typeface="+mn-ea"/>
              <a:cs typeface="+mn-cs"/>
            </a:rPr>
            <a:t>:</a:t>
          </a:r>
          <a:r>
            <a:rPr lang="en-US" sz="1100">
              <a:solidFill>
                <a:schemeClr val="dk1"/>
              </a:solidFill>
              <a:effectLst/>
              <a:latin typeface="+mn-lt"/>
              <a:ea typeface="+mn-ea"/>
              <a:cs typeface="+mn-cs"/>
            </a:rPr>
            <a:t> other services, authorized solely under section 404(a)(2) of the Act and referenced in a state’s former AFDC or Emergency Assistance plan.</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Work, Education, and Training Activities</a:t>
          </a:r>
          <a:endParaRPr lang="en-US" sz="1100" b="1">
            <a:solidFill>
              <a:schemeClr val="dk1"/>
            </a:solidFill>
            <a:effectLst/>
            <a:latin typeface="+mn-lt"/>
            <a:ea typeface="+mn-ea"/>
            <a:cs typeface="+mn-cs"/>
          </a:endParaRPr>
        </a:p>
        <a:p>
          <a:pPr lvl="1"/>
          <a:r>
            <a:rPr lang="en-US" sz="1100" b="1" i="1" u="none" strike="noStrike">
              <a:solidFill>
                <a:schemeClr val="dk1"/>
              </a:solidFill>
              <a:effectLst/>
              <a:latin typeface="+mn-lt"/>
              <a:ea typeface="+mn-ea"/>
              <a:cs typeface="+mn-cs"/>
            </a:rPr>
            <a:t>Subsidized Employment</a:t>
          </a:r>
          <a:r>
            <a:rPr lang="en-US" sz="1100" b="1" u="none" strike="noStrike">
              <a:solidFill>
                <a:schemeClr val="dk1"/>
              </a:solidFill>
              <a:effectLst/>
              <a:latin typeface="+mn-lt"/>
              <a:ea typeface="+mn-ea"/>
              <a:cs typeface="+mn-cs"/>
            </a:rPr>
            <a:t>:</a:t>
          </a:r>
          <a:r>
            <a:rPr lang="en-US" sz="1100" u="none" strike="noStrike">
              <a:solidFill>
                <a:schemeClr val="dk1"/>
              </a:solidFill>
              <a:effectLst/>
              <a:latin typeface="+mn-lt"/>
              <a:ea typeface="+mn-ea"/>
              <a:cs typeface="+mn-cs"/>
            </a:rPr>
            <a:t> payments to employers or third parties to help cover the costs of employee wages, benefits, supervision, or training; costs for subsidizing a portion of the participant’s wage to compensate an employer for training costs; and expenditures for subsidized employment targeted for youth. Does </a:t>
          </a:r>
          <a:r>
            <a:rPr lang="en-US" sz="1100" i="1" u="none" strike="noStrike">
              <a:solidFill>
                <a:schemeClr val="dk1"/>
              </a:solidFill>
              <a:effectLst/>
              <a:latin typeface="+mn-lt"/>
              <a:ea typeface="+mn-ea"/>
              <a:cs typeface="+mn-cs"/>
            </a:rPr>
            <a:t>not</a:t>
          </a:r>
          <a:r>
            <a:rPr lang="en-US" sz="1100" u="none" strike="noStrike">
              <a:solidFill>
                <a:schemeClr val="dk1"/>
              </a:solidFill>
              <a:effectLst/>
              <a:latin typeface="+mn-lt"/>
              <a:ea typeface="+mn-ea"/>
              <a:cs typeface="+mn-cs"/>
            </a:rPr>
            <a:t> include expenditures related to payments to or on behalf of participants in community service and work experience activities that are within the definition of assistance.</a:t>
          </a:r>
        </a:p>
        <a:p>
          <a:pPr lvl="1"/>
          <a:r>
            <a:rPr lang="en-US" sz="1100" b="1" i="1" u="none" strike="noStrike">
              <a:solidFill>
                <a:schemeClr val="dk1"/>
              </a:solidFill>
              <a:effectLst/>
              <a:latin typeface="+mn-lt"/>
              <a:ea typeface="+mn-ea"/>
              <a:cs typeface="+mn-cs"/>
            </a:rPr>
            <a:t>Education and Training</a:t>
          </a:r>
          <a:r>
            <a:rPr lang="en-US" sz="1100" b="1" u="none" strike="noStrike">
              <a:solidFill>
                <a:schemeClr val="dk1"/>
              </a:solidFill>
              <a:effectLst/>
              <a:latin typeface="+mn-lt"/>
              <a:ea typeface="+mn-ea"/>
              <a:cs typeface="+mn-cs"/>
            </a:rPr>
            <a:t>: </a:t>
          </a:r>
          <a:r>
            <a:rPr lang="en-US" sz="1100" u="none" strike="noStrike">
              <a:solidFill>
                <a:schemeClr val="dk1"/>
              </a:solidFill>
              <a:effectLst/>
              <a:latin typeface="+mn-lt"/>
              <a:ea typeface="+mn-ea"/>
              <a:cs typeface="+mn-cs"/>
            </a:rPr>
            <a:t>education and training activities, including secondary education (including alternative programs); adult education, high school diploma-equivalent (such as GED) and ESL classes; education directly related to employment; job skills training; education provided as vocational educational training or career and technical education; and post-secondary education.  Does </a:t>
          </a:r>
          <a:r>
            <a:rPr lang="en-US" sz="1100" i="1" u="none" strike="noStrike">
              <a:solidFill>
                <a:schemeClr val="dk1"/>
              </a:solidFill>
              <a:effectLst/>
              <a:latin typeface="+mn-lt"/>
              <a:ea typeface="+mn-ea"/>
              <a:cs typeface="+mn-cs"/>
            </a:rPr>
            <a:t>not</a:t>
          </a:r>
          <a:r>
            <a:rPr lang="en-US" sz="1100" u="none" strike="noStrike">
              <a:solidFill>
                <a:schemeClr val="dk1"/>
              </a:solidFill>
              <a:effectLst/>
              <a:latin typeface="+mn-lt"/>
              <a:ea typeface="+mn-ea"/>
              <a:cs typeface="+mn-cs"/>
            </a:rPr>
            <a:t> include costs of early care and education or after-school or summer enrichment programs for children and youth in elementary, middle school, or high school.  </a:t>
          </a:r>
        </a:p>
        <a:p>
          <a:pPr lvl="1"/>
          <a:r>
            <a:rPr lang="en-US" sz="1100" b="1" i="1" u="none" strike="noStrike">
              <a:solidFill>
                <a:schemeClr val="dk1"/>
              </a:solidFill>
              <a:effectLst/>
              <a:latin typeface="+mn-lt"/>
              <a:ea typeface="+mn-ea"/>
              <a:cs typeface="+mn-cs"/>
            </a:rPr>
            <a:t>Additional Work Activities</a:t>
          </a:r>
          <a:r>
            <a:rPr lang="en-US" sz="1100" b="1" u="none" strike="noStrike">
              <a:solidFill>
                <a:schemeClr val="dk1"/>
              </a:solidFill>
              <a:effectLst/>
              <a:latin typeface="+mn-lt"/>
              <a:ea typeface="+mn-ea"/>
              <a:cs typeface="+mn-cs"/>
            </a:rPr>
            <a:t>: </a:t>
          </a:r>
          <a:r>
            <a:rPr lang="en-US" sz="1100" u="none" strike="noStrike">
              <a:solidFill>
                <a:schemeClr val="dk1"/>
              </a:solidFill>
              <a:effectLst/>
              <a:latin typeface="+mn-lt"/>
              <a:ea typeface="+mn-ea"/>
              <a:cs typeface="+mn-cs"/>
            </a:rPr>
            <a:t>work activities that have not been reported in employment subsidies or education and training.  Includes costs related to providing work experience and community service activities, job search assistance and job readiness, related services (such as employment counseling, coaching, job development, information and referral, and outreach to business and non-profit community groups).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Work Supports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Assistance and non-assistance transportation benefits, such as the value of allowances, bus tokens, car payments, auto repair, auto insurance reimbursement, and van services provided in order to help families obtain, retain, or advance in employment, participate in other work activities, or as a non-recurrent, short-term benefit. Also includes goods provided to individuals in order to help them obtain or maintain employment, e.g., tools, uniforms, fees to obtain special  licenses, as well as bonuses, incentives, and work support allowances (that do not meet the definition of “assistance”) and expenditures for job access.</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Early Care and Education</a:t>
          </a:r>
        </a:p>
        <a:p>
          <a:pPr lvl="1"/>
          <a:r>
            <a:rPr lang="en-US" sz="1100" b="1" i="1">
              <a:solidFill>
                <a:schemeClr val="dk1"/>
              </a:solidFill>
              <a:effectLst/>
              <a:latin typeface="+mn-lt"/>
              <a:ea typeface="+mn-ea"/>
              <a:cs typeface="+mn-cs"/>
            </a:rPr>
            <a:t>Child Care (</a:t>
          </a:r>
          <a:r>
            <a:rPr lang="en-US" sz="1100" b="0" i="0">
              <a:solidFill>
                <a:schemeClr val="dk1"/>
              </a:solidFill>
              <a:effectLst/>
              <a:latin typeface="+mn-lt"/>
              <a:ea typeface="+mn-ea"/>
              <a:cs typeface="+mn-cs"/>
            </a:rPr>
            <a:t>A</a:t>
          </a:r>
          <a:r>
            <a:rPr lang="en-US" sz="1100" b="1" i="1">
              <a:solidFill>
                <a:schemeClr val="dk1"/>
              </a:solidFill>
              <a:effectLst/>
              <a:latin typeface="+mn-lt"/>
              <a:ea typeface="+mn-ea"/>
              <a:cs typeface="+mn-cs"/>
            </a:rPr>
            <a:t>ssistance and Non-Assistance)</a:t>
          </a:r>
          <a:r>
            <a:rPr lang="en-US" sz="1100">
              <a:solidFill>
                <a:schemeClr val="dk1"/>
              </a:solidFill>
              <a:effectLst/>
              <a:latin typeface="+mn-lt"/>
              <a:ea typeface="+mn-ea"/>
              <a:cs typeface="+mn-cs"/>
            </a:rPr>
            <a:t>: child care expenditures for families that need child care to work, participate in work activities (such as job search, community service, education, or training), or for respite purposes.  Includes child care provided to families who receive child care during a temporary period of unemployment.  Does </a:t>
          </a:r>
          <a:r>
            <a:rPr lang="en-US" sz="1100" i="1">
              <a:solidFill>
                <a:schemeClr val="dk1"/>
              </a:solidFill>
              <a:effectLst/>
              <a:latin typeface="+mn-lt"/>
              <a:ea typeface="+mn-ea"/>
              <a:cs typeface="+mn-cs"/>
            </a:rPr>
            <a:t>not</a:t>
          </a:r>
          <a:r>
            <a:rPr lang="en-US" sz="1100">
              <a:solidFill>
                <a:schemeClr val="dk1"/>
              </a:solidFill>
              <a:effectLst/>
              <a:latin typeface="+mn-lt"/>
              <a:ea typeface="+mn-ea"/>
              <a:cs typeface="+mn-cs"/>
            </a:rPr>
            <a:t> include funds transferred to the CCDF (Discretionary Fund - reported on the ACF-696) or the SSBG programs. </a:t>
          </a:r>
        </a:p>
        <a:p>
          <a:pPr lvl="1"/>
          <a:r>
            <a:rPr lang="en-US" sz="1100" b="1" i="1">
              <a:solidFill>
                <a:schemeClr val="dk1"/>
              </a:solidFill>
              <a:effectLst/>
              <a:latin typeface="+mn-lt"/>
              <a:ea typeface="+mn-ea"/>
              <a:cs typeface="+mn-cs"/>
            </a:rPr>
            <a:t>Pre-Kindergarten/Head Start</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pre-kindergarten or kindergarten education programs (allowable if they do not meet the definition of a “general state expense”), expansion of Head Start programs, or other school readiness programs.</a:t>
          </a:r>
        </a:p>
        <a:p>
          <a:pPr lvl="1"/>
          <a:endParaRPr lang="en-US" sz="1100" b="0" i="1">
            <a:solidFill>
              <a:schemeClr val="dk1"/>
            </a:solidFill>
            <a:effectLst/>
            <a:latin typeface="+mn-lt"/>
            <a:ea typeface="+mn-ea"/>
            <a:cs typeface="+mn-cs"/>
          </a:endParaRPr>
        </a:p>
        <a:p>
          <a:pPr lvl="0"/>
          <a:r>
            <a:rPr lang="x-none" sz="1100" b="1" i="0">
              <a:solidFill>
                <a:schemeClr val="dk1"/>
              </a:solidFill>
              <a:effectLst/>
              <a:latin typeface="+mn-lt"/>
              <a:ea typeface="+mn-ea"/>
              <a:cs typeface="+mn-cs"/>
            </a:rPr>
            <a:t>Financial Education and Asset Development</a:t>
          </a:r>
          <a:endParaRPr lang="en-US" sz="1100" b="1" i="0">
            <a:solidFill>
              <a:schemeClr val="dk1"/>
            </a:solidFill>
            <a:effectLst/>
            <a:latin typeface="+mn-lt"/>
            <a:ea typeface="+mn-ea"/>
            <a:cs typeface="+mn-cs"/>
          </a:endParaRPr>
        </a:p>
        <a:p>
          <a:pPr lvl="0"/>
          <a:r>
            <a:rPr lang="en-US" sz="1100">
              <a:solidFill>
                <a:schemeClr val="dk1"/>
              </a:solidFill>
              <a:effectLst/>
              <a:latin typeface="+mn-lt"/>
              <a:ea typeface="+mn-ea"/>
              <a:cs typeface="+mn-cs"/>
            </a:rPr>
            <a:t>Programs and initiatives designed to support the development and protection of assets including contributions to Individual Development Accounts (IDAs) and related operational costs (that fall outside the definition of administrative costs), financial education services, tax credit outreach campaigns and tax filing assistance programs, initiatives to support access to mainstream banking, and credit and debt management counseling.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Refundable </a:t>
          </a:r>
          <a:r>
            <a:rPr lang="en-US" sz="1100" b="1">
              <a:solidFill>
                <a:schemeClr val="dk1"/>
              </a:solidFill>
              <a:effectLst/>
              <a:latin typeface="+mn-lt"/>
              <a:ea typeface="+mn-ea"/>
              <a:cs typeface="+mn-cs"/>
            </a:rPr>
            <a:t>Earned Income </a:t>
          </a:r>
          <a:r>
            <a:rPr lang="x-none" sz="1100" b="1">
              <a:solidFill>
                <a:schemeClr val="dk1"/>
              </a:solidFill>
              <a:effectLst/>
              <a:latin typeface="+mn-lt"/>
              <a:ea typeface="+mn-ea"/>
              <a:cs typeface="+mn-cs"/>
            </a:rPr>
            <a:t>Tax Credits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Refundable portions of state or local earned income tax credits (EITC) paid to families. If the state is using an intercept to recoup a debt owed to the state, only the portion of the refundable EITC that is actually received by the family may be considered a federal TANF or MOE expenditure.  </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Non-EITC Refundable State Tax Credits</a:t>
          </a:r>
        </a:p>
        <a:p>
          <a:r>
            <a:rPr lang="en-US" sz="1100">
              <a:solidFill>
                <a:schemeClr val="dk1"/>
              </a:solidFill>
              <a:effectLst/>
              <a:latin typeface="+mn-lt"/>
              <a:ea typeface="+mn-ea"/>
              <a:cs typeface="+mn-cs"/>
            </a:rPr>
            <a:t>Refundable portions of other tax credits provided under state or local law that are consistent with the purposes of TANF (e.g., state refundable child care tax credit).  If the state is using an intercept to recoup a debt owed to the state, only the portion of the refundable tax credit that is actually received by the family may be considered a federal TANF or MOE expenditure.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Non-Recurrent Short Term Benefits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Short-term benefits to families in the form of cash, vouchers, subsidies, or similar form of payment to deal with a specific crisis situation or episode of need and excluded from the definition of assistance on that basis.  Includes expenditures such as emergency assistance and diversion payments, emergency housing and short-term homelessness assistance, emergency food aid, short-term utilities payments, burial assistance, clothing allowances, and back-to-school payments.  </a:t>
          </a:r>
        </a:p>
        <a:p>
          <a:pPr lvl="0"/>
          <a:endParaRPr lang="en-US" sz="1100" b="0" i="1">
            <a:solidFill>
              <a:schemeClr val="dk1"/>
            </a:solidFill>
            <a:effectLst/>
            <a:latin typeface="+mn-lt"/>
            <a:ea typeface="+mn-ea"/>
            <a:cs typeface="+mn-cs"/>
          </a:endParaRPr>
        </a:p>
        <a:p>
          <a:pPr lvl="0"/>
          <a:r>
            <a:rPr lang="x-none" sz="1100" b="1" i="0">
              <a:solidFill>
                <a:schemeClr val="dk1"/>
              </a:solidFill>
              <a:effectLst/>
              <a:latin typeface="+mn-lt"/>
              <a:ea typeface="+mn-ea"/>
              <a:cs typeface="+mn-cs"/>
            </a:rPr>
            <a:t>Supportive Services</a:t>
          </a:r>
          <a:endParaRPr lang="en-US" sz="1100" b="1" i="0">
            <a:solidFill>
              <a:schemeClr val="dk1"/>
            </a:solidFill>
            <a:effectLst/>
            <a:latin typeface="+mn-lt"/>
            <a:ea typeface="+mn-ea"/>
            <a:cs typeface="+mn-cs"/>
          </a:endParaRPr>
        </a:p>
        <a:p>
          <a:r>
            <a:rPr lang="en-US" sz="1100">
              <a:solidFill>
                <a:schemeClr val="dk1"/>
              </a:solidFill>
              <a:effectLst/>
              <a:latin typeface="+mn-lt"/>
              <a:ea typeface="+mn-ea"/>
              <a:cs typeface="+mn-cs"/>
            </a:rPr>
            <a:t>Services such as domestic violence services, and health, mental health, substance abuse and disability services, housing counseling services, and other family supports.  (</a:t>
          </a:r>
          <a:r>
            <a:rPr lang="en-US" sz="1100" i="1">
              <a:solidFill>
                <a:schemeClr val="dk1"/>
              </a:solidFill>
              <a:effectLst/>
              <a:latin typeface="+mn-lt"/>
              <a:ea typeface="+mn-ea"/>
              <a:cs typeface="+mn-cs"/>
            </a:rPr>
            <a:t>Note</a:t>
          </a:r>
          <a:r>
            <a:rPr lang="en-US" sz="1100">
              <a:solidFill>
                <a:schemeClr val="dk1"/>
              </a:solidFill>
              <a:effectLst/>
              <a:latin typeface="+mn-lt"/>
              <a:ea typeface="+mn-ea"/>
              <a:cs typeface="+mn-cs"/>
            </a:rPr>
            <a:t>: a state may not use federal TANF funds on expenditures for medical services).</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Services for Children </a:t>
          </a:r>
          <a:r>
            <a:rPr lang="en-US" sz="1100" b="1">
              <a:solidFill>
                <a:schemeClr val="dk1"/>
              </a:solidFill>
              <a:effectLst/>
              <a:latin typeface="+mn-lt"/>
              <a:ea typeface="+mn-ea"/>
              <a:cs typeface="+mn-cs"/>
            </a:rPr>
            <a:t>and</a:t>
          </a:r>
          <a:r>
            <a:rPr lang="x-none" sz="1100" b="1">
              <a:solidFill>
                <a:schemeClr val="dk1"/>
              </a:solidFill>
              <a:effectLst/>
              <a:latin typeface="+mn-lt"/>
              <a:ea typeface="+mn-ea"/>
              <a:cs typeface="+mn-cs"/>
            </a:rPr>
            <a:t> Youth</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Programs designed to support and enrich the development and improve the life-skills and educational attainment of children and youth. This may include after-school programs, and mentoring or tutoring programs.  </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Prevention of </a:t>
          </a:r>
          <a:r>
            <a:rPr lang="x-none" sz="1100" b="1">
              <a:solidFill>
                <a:schemeClr val="dk1"/>
              </a:solidFill>
              <a:effectLst/>
              <a:latin typeface="+mn-lt"/>
              <a:ea typeface="+mn-ea"/>
              <a:cs typeface="+mn-cs"/>
            </a:rPr>
            <a:t>Out-of-Wedlock Pregnanc</a:t>
          </a:r>
          <a:r>
            <a:rPr lang="en-US" sz="1100" b="1">
              <a:solidFill>
                <a:schemeClr val="dk1"/>
              </a:solidFill>
              <a:effectLst/>
              <a:latin typeface="+mn-lt"/>
              <a:ea typeface="+mn-ea"/>
              <a:cs typeface="+mn-cs"/>
            </a:rPr>
            <a:t>ies</a:t>
          </a:r>
        </a:p>
        <a:p>
          <a:r>
            <a:rPr lang="en-US" sz="1100">
              <a:solidFill>
                <a:schemeClr val="dk1"/>
              </a:solidFill>
              <a:effectLst/>
              <a:latin typeface="+mn-lt"/>
              <a:ea typeface="+mn-ea"/>
              <a:cs typeface="+mn-cs"/>
            </a:rPr>
            <a:t>Programs that provide sex education or abstinence education and family planning services to individuals, couples, and families in an effort to reduce out-of-wedlock pregnancies.  Includes expenditures related to comprehensive sex education or abstinence programs for teens and pre-teens.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Fatherhood and Two-Parent Family Formation and Maintenance Programs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Programs that aim to promote responsible fatherhood and/or encourage the formation and maintenance of two-parent families.  For example, activities within these programs may include marriage education, marriage and relationship skills, fatherhood skills programs; parent skills workshops; public advertising campaigns on the value of marriage and responsible fatherhood; education regarding how to control aggressive behavior; financial planning seminars; and divorce education and reduction programs.</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Child Welfare Services</a:t>
          </a:r>
          <a:endParaRPr lang="en-US" sz="1100" b="1">
            <a:solidFill>
              <a:schemeClr val="dk1"/>
            </a:solidFill>
            <a:effectLst/>
            <a:latin typeface="+mn-lt"/>
            <a:ea typeface="+mn-ea"/>
            <a:cs typeface="+mn-cs"/>
          </a:endParaRPr>
        </a:p>
        <a:p>
          <a:pPr lvl="1"/>
          <a:r>
            <a:rPr lang="en-US" sz="1100" b="1" i="1">
              <a:solidFill>
                <a:schemeClr val="dk1"/>
              </a:solidFill>
              <a:effectLst/>
              <a:latin typeface="+mn-lt"/>
              <a:ea typeface="+mn-ea"/>
              <a:cs typeface="+mn-cs"/>
            </a:rPr>
            <a:t>Family Support/Family Preservation/Reunification Services</a:t>
          </a:r>
          <a:r>
            <a:rPr lang="en-US" sz="1100">
              <a:solidFill>
                <a:schemeClr val="dk1"/>
              </a:solidFill>
              <a:effectLst/>
              <a:latin typeface="+mn-lt"/>
              <a:ea typeface="+mn-ea"/>
              <a:cs typeface="+mn-cs"/>
            </a:rPr>
            <a:t>: community-based services, provided to families involved in the child welfare system that are designed to increase the strength and stability of families so children may remain in or return to their homes.  These services may include respite care for parents and relative caregivers; individual, group, and family counseling; parenting skills classes; case management; etc. </a:t>
          </a:r>
        </a:p>
        <a:p>
          <a:pPr lvl="1"/>
          <a:r>
            <a:rPr lang="en-US" sz="1100" b="1" i="1">
              <a:solidFill>
                <a:schemeClr val="dk1"/>
              </a:solidFill>
              <a:effectLst/>
              <a:latin typeface="+mn-lt"/>
              <a:ea typeface="+mn-ea"/>
              <a:cs typeface="+mn-cs"/>
            </a:rPr>
            <a:t>Adoption Services</a:t>
          </a:r>
          <a:r>
            <a:rPr lang="en-US" sz="1100">
              <a:solidFill>
                <a:schemeClr val="dk1"/>
              </a:solidFill>
              <a:effectLst/>
              <a:latin typeface="+mn-lt"/>
              <a:ea typeface="+mn-ea"/>
              <a:cs typeface="+mn-cs"/>
            </a:rPr>
            <a:t>: services and activities designed to promote and support successful adoptions.  Services may include pre- and post-adoptive services to support adoptive families, as well as adoptive parent training and recruitment.</a:t>
          </a:r>
        </a:p>
        <a:p>
          <a:pPr lvl="1"/>
          <a:r>
            <a:rPr lang="en-US" sz="1100" b="1" i="1">
              <a:solidFill>
                <a:schemeClr val="dk1"/>
              </a:solidFill>
              <a:effectLst/>
              <a:latin typeface="+mn-lt"/>
              <a:ea typeface="+mn-ea"/>
              <a:cs typeface="+mn-cs"/>
            </a:rPr>
            <a:t>Additional Child Welfare Services</a:t>
          </a:r>
          <a:r>
            <a:rPr lang="en-US" sz="1100">
              <a:solidFill>
                <a:schemeClr val="dk1"/>
              </a:solidFill>
              <a:effectLst/>
              <a:latin typeface="+mn-lt"/>
              <a:ea typeface="+mn-ea"/>
              <a:cs typeface="+mn-cs"/>
            </a:rPr>
            <a:t>: other services provided to children and families at risk of being in the child welfare system, or who are involved in the child welfare system.  This may include independent living services, service coordination costs, legal action, developing case plans, assessment/evaluation of family circumstances, and transportation to or from any of the services or activities described above. </a:t>
          </a:r>
        </a:p>
        <a:p>
          <a:pPr lvl="0"/>
          <a:endParaRPr lang="en-US" sz="1100" b="1" i="0">
            <a:solidFill>
              <a:schemeClr val="dk1"/>
            </a:solidFill>
            <a:effectLst/>
            <a:latin typeface="+mn-lt"/>
            <a:ea typeface="+mn-ea"/>
            <a:cs typeface="+mn-cs"/>
          </a:endParaRPr>
        </a:p>
        <a:p>
          <a:pPr lvl="0"/>
          <a:r>
            <a:rPr lang="x-none" sz="1100" b="1" i="0">
              <a:solidFill>
                <a:schemeClr val="dk1"/>
              </a:solidFill>
              <a:effectLst/>
              <a:latin typeface="+mn-lt"/>
              <a:ea typeface="+mn-ea"/>
              <a:cs typeface="+mn-cs"/>
            </a:rPr>
            <a:t>Home Visiting Programs</a:t>
          </a:r>
          <a:endParaRPr lang="en-US" sz="1100" b="1" i="0">
            <a:solidFill>
              <a:schemeClr val="dk1"/>
            </a:solidFill>
            <a:effectLst/>
            <a:latin typeface="+mn-lt"/>
            <a:ea typeface="+mn-ea"/>
            <a:cs typeface="+mn-cs"/>
          </a:endParaRPr>
        </a:p>
        <a:p>
          <a:r>
            <a:rPr lang="en-US" sz="1100">
              <a:solidFill>
                <a:schemeClr val="dk1"/>
              </a:solidFill>
              <a:effectLst/>
              <a:latin typeface="+mn-lt"/>
              <a:ea typeface="+mn-ea"/>
              <a:cs typeface="+mn-cs"/>
            </a:rPr>
            <a:t>Expenditures on programs where nurses, social workers, or other professionals/para-professionals provide services to families in their homes, including evaluating the families’ circumstances; providing information and guidance around maternal health and child health and development; and connecting families to necessary resources and services.</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Program Management</a:t>
          </a:r>
          <a:endParaRPr lang="en-US" sz="1100" b="1">
            <a:solidFill>
              <a:schemeClr val="dk1"/>
            </a:solidFill>
            <a:effectLst/>
            <a:latin typeface="+mn-lt"/>
            <a:ea typeface="+mn-ea"/>
            <a:cs typeface="+mn-cs"/>
          </a:endParaRPr>
        </a:p>
        <a:p>
          <a:pPr lvl="1"/>
          <a:r>
            <a:rPr lang="en-US" sz="1100" b="1" i="1">
              <a:solidFill>
                <a:schemeClr val="dk1"/>
              </a:solidFill>
              <a:effectLst/>
              <a:latin typeface="+mn-lt"/>
              <a:ea typeface="+mn-ea"/>
              <a:cs typeface="+mn-cs"/>
            </a:rPr>
            <a:t>Administrative Costs</a:t>
          </a:r>
          <a:r>
            <a:rPr lang="en-US" sz="1100" b="1">
              <a:solidFill>
                <a:schemeClr val="dk1"/>
              </a:solidFill>
              <a:effectLst/>
              <a:latin typeface="+mn-lt"/>
              <a:ea typeface="+mn-ea"/>
              <a:cs typeface="+mn-cs"/>
            </a:rPr>
            <a:t>:</a:t>
          </a:r>
          <a:r>
            <a:rPr lang="en-US" sz="1100">
              <a:solidFill>
                <a:schemeClr val="dk1"/>
              </a:solidFill>
              <a:effectLst/>
              <a:latin typeface="+mn-lt"/>
              <a:ea typeface="+mn-ea"/>
              <a:cs typeface="+mn-cs"/>
            </a:rPr>
            <a:t> subject to a 15 percent cap.</a:t>
          </a:r>
        </a:p>
        <a:p>
          <a:pPr lvl="1"/>
          <a:r>
            <a:rPr lang="en-US" sz="1100" b="1" i="1">
              <a:solidFill>
                <a:schemeClr val="dk1"/>
              </a:solidFill>
              <a:effectLst/>
              <a:latin typeface="+mn-lt"/>
              <a:ea typeface="+mn-ea"/>
              <a:cs typeface="+mn-cs"/>
            </a:rPr>
            <a:t>Assessment/Service Provision</a:t>
          </a:r>
          <a:r>
            <a:rPr lang="en-US" sz="1100">
              <a:solidFill>
                <a:schemeClr val="dk1"/>
              </a:solidFill>
              <a:effectLst/>
              <a:latin typeface="+mn-lt"/>
              <a:ea typeface="+mn-ea"/>
              <a:cs typeface="+mn-cs"/>
            </a:rPr>
            <a:t>: costs associated with screening and assessment (including substance abuse screening), SSI/SSDI application services, case planning and management, and direct service provision such as case management for a TANF recipient related to the provision of an array of services. </a:t>
          </a:r>
        </a:p>
        <a:p>
          <a:pPr lvl="1"/>
          <a:r>
            <a:rPr lang="en-US" sz="1100" b="1" i="1">
              <a:solidFill>
                <a:schemeClr val="dk1"/>
              </a:solidFill>
              <a:effectLst/>
              <a:latin typeface="+mn-lt"/>
              <a:ea typeface="+mn-ea"/>
              <a:cs typeface="+mn-cs"/>
            </a:rPr>
            <a:t>Systems</a:t>
          </a:r>
          <a:r>
            <a:rPr lang="en-US" sz="1100" b="1">
              <a:solidFill>
                <a:schemeClr val="dk1"/>
              </a:solidFill>
              <a:effectLst/>
              <a:latin typeface="+mn-lt"/>
              <a:ea typeface="+mn-ea"/>
              <a:cs typeface="+mn-cs"/>
            </a:rPr>
            <a:t>: </a:t>
          </a:r>
          <a:r>
            <a:rPr lang="en-US" sz="1100">
              <a:solidFill>
                <a:schemeClr val="dk1"/>
              </a:solidFill>
              <a:effectLst/>
              <a:latin typeface="+mn-lt"/>
              <a:ea typeface="+mn-ea"/>
              <a:cs typeface="+mn-cs"/>
            </a:rPr>
            <a:t>costs related to monitoring and tracking under the program.  </a:t>
          </a:r>
        </a:p>
        <a:p>
          <a:endParaRPr lang="en-US" sz="1100" b="1">
            <a:solidFill>
              <a:schemeClr val="dk1"/>
            </a:solidFill>
            <a:effectLst/>
            <a:latin typeface="+mn-lt"/>
            <a:ea typeface="+mn-ea"/>
            <a:cs typeface="+mn-cs"/>
          </a:endParaRPr>
        </a:p>
        <a:p>
          <a:r>
            <a:rPr lang="x-none" sz="1100" b="1">
              <a:solidFill>
                <a:schemeClr val="dk1"/>
              </a:solidFill>
              <a:effectLst/>
              <a:latin typeface="+mn-lt"/>
              <a:ea typeface="+mn-ea"/>
              <a:cs typeface="+mn-cs"/>
            </a:rPr>
            <a:t>Other</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Non-assistance activities that were not included in any of the above categories. </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Transferred to Child Care and Development Fund (CCDF) Discretionary</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Funds that the state transferred to the Discretionary Fund of the CCDF during the federal fiscal year. These funds are subject to the rules and regulations of that Fund in place for the fiscal year at the time when the transfer occurs.  A state can transfer up to 30 percent of its block grant to CCDF.</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Transferred to Social Services Block Grant (SSBG)</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Funds the state transferred to the SSBG during the fiscal year.  All funds transferred to the SSBG program are subject to the statute and regulations of the SSBG program in place for the fiscal year at the time when the transfer occurs and shall be used only for programs and services to children or their families whose income is less than 200 percent of the income official poverty line (as defined by the Office of Management and Budget).  A state can transfer up to 10 percent of its TANF funds to the Social Services Block Grant.</a:t>
          </a:r>
        </a:p>
        <a:p>
          <a:pPr lvl="0"/>
          <a:endParaRPr lang="en-US" sz="1100" b="1">
            <a:solidFill>
              <a:schemeClr val="dk1"/>
            </a:solidFill>
            <a:effectLst/>
            <a:latin typeface="+mn-lt"/>
            <a:ea typeface="+mn-ea"/>
            <a:cs typeface="+mn-cs"/>
          </a:endParaRPr>
        </a:p>
        <a:p>
          <a:pPr lvl="0"/>
          <a:r>
            <a:rPr lang="x-none" sz="1100" b="1">
              <a:solidFill>
                <a:schemeClr val="dk1"/>
              </a:solidFill>
              <a:effectLst/>
              <a:latin typeface="+mn-lt"/>
              <a:ea typeface="+mn-ea"/>
              <a:cs typeface="+mn-cs"/>
            </a:rPr>
            <a:t>Transitional Services for Employed  </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Section 411(a)(5) of the Social Security Act requires states to report expenditures on transitional services for families who have ceased to receive assistance because of employment.  This can exclude expenditures from a variety of individual categories, e.g., child care or supportive services; to avoid double-counting, these expenditures are reported as a separate line item apart from the other expenditure categories.</a:t>
          </a:r>
        </a:p>
        <a:p>
          <a:endParaRPr lang="en-US" sz="1100" b="1">
            <a:solidFill>
              <a:schemeClr val="dk1"/>
            </a:solidFill>
            <a:effectLst/>
            <a:latin typeface="+mn-lt"/>
            <a:ea typeface="+mn-ea"/>
            <a:cs typeface="+mn-cs"/>
          </a:endParaRPr>
        </a:p>
        <a:p>
          <a:r>
            <a:rPr lang="x-none" sz="1100" b="1">
              <a:solidFill>
                <a:schemeClr val="dk1"/>
              </a:solidFill>
              <a:effectLst/>
              <a:latin typeface="+mn-lt"/>
              <a:ea typeface="+mn-ea"/>
              <a:cs typeface="+mn-cs"/>
            </a:rPr>
            <a:t>Job Access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Expenditures of federal TANF block grant funds to meet the matching requirements for the Department of Transportation Job Access program.   These expenditures are also included in “Work Supports.”  To avoid double-counting, the Job Access expenditures are reported as a separate line item apart from the other expenditures categories.  The amount of TANF funds expended on Job Access programs that may be used as non-federal matching under the Job Access program is limited to the difference between 30 percent of TANF block grant funds and the total amount transferred to SSBG and the Discretionary Fund of CCDF.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rahmanou\spending\FY03\HHS%20Charts\TABLE%20A%20-%20Combined%20Federal%20Funds%20Spent%20in%20FY%202003%20through%20the%20FOURTH%20Quart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rahmanou\spending\FY03\FY03%20Spending%20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ndingFromFedlTANFgrantInFY"/>
      <sheetName val="SummaryOfExpenOnAssistInFY"/>
      <sheetName val="ExpendOnNonAssistInFY"/>
      <sheetName val="ExpendOnNonAssistDetailBreakFY"/>
      <sheetName val="BreakdownOfOtherExpendNonAssist"/>
    </sheetNames>
    <sheetDataSet>
      <sheetData sheetId="0" refreshError="1">
        <row r="1">
          <cell r="K1">
            <v>4</v>
          </cell>
        </row>
        <row r="6">
          <cell r="K6">
            <v>2003</v>
          </cell>
        </row>
        <row r="7">
          <cell r="B7">
            <v>194007284</v>
          </cell>
          <cell r="C7">
            <v>20545839</v>
          </cell>
          <cell r="D7">
            <v>10491352</v>
          </cell>
          <cell r="E7">
            <v>162970093</v>
          </cell>
          <cell r="F7">
            <v>49120216</v>
          </cell>
          <cell r="G7">
            <v>82347108</v>
          </cell>
          <cell r="H7">
            <v>131467324</v>
          </cell>
          <cell r="I7">
            <v>3902526</v>
          </cell>
          <cell r="J7">
            <v>27600243</v>
          </cell>
        </row>
        <row r="8">
          <cell r="B8">
            <v>74389141</v>
          </cell>
          <cell r="C8">
            <v>15737700</v>
          </cell>
          <cell r="D8">
            <v>4100000</v>
          </cell>
          <cell r="E8">
            <v>54551441</v>
          </cell>
          <cell r="F8">
            <v>22403180</v>
          </cell>
          <cell r="G8">
            <v>21879601</v>
          </cell>
          <cell r="H8">
            <v>44282781</v>
          </cell>
          <cell r="I8">
            <v>0</v>
          </cell>
          <cell r="J8">
            <v>10268660</v>
          </cell>
        </row>
        <row r="9">
          <cell r="B9">
            <v>311872553</v>
          </cell>
          <cell r="C9">
            <v>0</v>
          </cell>
          <cell r="D9">
            <v>22733434</v>
          </cell>
          <cell r="E9">
            <v>289139119</v>
          </cell>
          <cell r="F9">
            <v>126069037</v>
          </cell>
          <cell r="G9">
            <v>134334221</v>
          </cell>
          <cell r="H9">
            <v>260403258</v>
          </cell>
          <cell r="I9">
            <v>19759080</v>
          </cell>
          <cell r="J9">
            <v>8976781</v>
          </cell>
        </row>
        <row r="10">
          <cell r="B10">
            <v>94843071</v>
          </cell>
          <cell r="C10">
            <v>6000000</v>
          </cell>
          <cell r="D10">
            <v>0</v>
          </cell>
          <cell r="E10">
            <v>88843071</v>
          </cell>
          <cell r="F10">
            <v>14116159</v>
          </cell>
          <cell r="G10">
            <v>17867598</v>
          </cell>
          <cell r="H10">
            <v>31983757</v>
          </cell>
          <cell r="I10">
            <v>0</v>
          </cell>
          <cell r="J10">
            <v>56859314</v>
          </cell>
        </row>
        <row r="11">
          <cell r="B11">
            <v>4551283529</v>
          </cell>
          <cell r="C11">
            <v>572514000</v>
          </cell>
          <cell r="D11">
            <v>81535520</v>
          </cell>
          <cell r="E11">
            <v>3897234009</v>
          </cell>
          <cell r="F11">
            <v>2151909993</v>
          </cell>
          <cell r="G11">
            <v>1518839106</v>
          </cell>
          <cell r="H11">
            <v>3670749099</v>
          </cell>
          <cell r="I11">
            <v>226484910</v>
          </cell>
          <cell r="J11">
            <v>0</v>
          </cell>
        </row>
        <row r="12">
          <cell r="B12">
            <v>228951330</v>
          </cell>
          <cell r="C12">
            <v>22241896</v>
          </cell>
          <cell r="D12">
            <v>14962638</v>
          </cell>
          <cell r="E12">
            <v>191746796</v>
          </cell>
          <cell r="F12">
            <v>42399741</v>
          </cell>
          <cell r="G12">
            <v>68106268</v>
          </cell>
          <cell r="H12">
            <v>110506009</v>
          </cell>
          <cell r="I12">
            <v>81240787</v>
          </cell>
          <cell r="J12">
            <v>0</v>
          </cell>
        </row>
        <row r="13">
          <cell r="B13">
            <v>281363508</v>
          </cell>
          <cell r="C13">
            <v>0</v>
          </cell>
          <cell r="D13">
            <v>26678810</v>
          </cell>
          <cell r="E13">
            <v>254684698</v>
          </cell>
          <cell r="F13">
            <v>48885011</v>
          </cell>
          <cell r="G13">
            <v>205799687</v>
          </cell>
          <cell r="H13">
            <v>254684698</v>
          </cell>
          <cell r="I13">
            <v>0</v>
          </cell>
          <cell r="J13">
            <v>0</v>
          </cell>
        </row>
        <row r="14">
          <cell r="B14">
            <v>35626951</v>
          </cell>
          <cell r="C14">
            <v>1265646</v>
          </cell>
          <cell r="D14">
            <v>1336345</v>
          </cell>
          <cell r="E14">
            <v>33024960</v>
          </cell>
          <cell r="F14">
            <v>24571749</v>
          </cell>
          <cell r="G14">
            <v>3211681</v>
          </cell>
          <cell r="H14">
            <v>27783430</v>
          </cell>
          <cell r="I14">
            <v>5018164</v>
          </cell>
          <cell r="J14">
            <v>223366</v>
          </cell>
        </row>
        <row r="15">
          <cell r="B15">
            <v>157940486</v>
          </cell>
          <cell r="C15">
            <v>18521964</v>
          </cell>
          <cell r="D15">
            <v>3935917</v>
          </cell>
          <cell r="E15">
            <v>135482605</v>
          </cell>
          <cell r="F15">
            <v>17255243</v>
          </cell>
          <cell r="G15">
            <v>73856534</v>
          </cell>
          <cell r="H15">
            <v>91111777</v>
          </cell>
          <cell r="I15">
            <v>1228084</v>
          </cell>
          <cell r="J15">
            <v>43142744</v>
          </cell>
        </row>
        <row r="16">
          <cell r="B16">
            <v>818048612</v>
          </cell>
          <cell r="C16">
            <v>122549160</v>
          </cell>
          <cell r="D16">
            <v>52274580</v>
          </cell>
          <cell r="E16">
            <v>643224872</v>
          </cell>
          <cell r="F16">
            <v>72776893</v>
          </cell>
          <cell r="G16">
            <v>410791375</v>
          </cell>
          <cell r="H16">
            <v>483568268</v>
          </cell>
          <cell r="I16">
            <v>0</v>
          </cell>
          <cell r="J16">
            <v>159656604</v>
          </cell>
        </row>
        <row r="17">
          <cell r="B17">
            <v>558760633</v>
          </cell>
          <cell r="C17">
            <v>32200000</v>
          </cell>
          <cell r="D17">
            <v>18865151</v>
          </cell>
          <cell r="E17">
            <v>507695482</v>
          </cell>
          <cell r="F17">
            <v>107208919</v>
          </cell>
          <cell r="G17">
            <v>218919710</v>
          </cell>
          <cell r="H17">
            <v>326128629</v>
          </cell>
          <cell r="I17">
            <v>20574443</v>
          </cell>
          <cell r="J17">
            <v>160992410</v>
          </cell>
        </row>
        <row r="18">
          <cell r="B18">
            <v>173470882</v>
          </cell>
          <cell r="C18">
            <v>11050000</v>
          </cell>
          <cell r="D18">
            <v>9890000</v>
          </cell>
          <cell r="E18">
            <v>152530882</v>
          </cell>
          <cell r="F18">
            <v>40916583</v>
          </cell>
          <cell r="G18">
            <v>16616800</v>
          </cell>
          <cell r="H18">
            <v>57533383</v>
          </cell>
          <cell r="I18">
            <v>4165847</v>
          </cell>
          <cell r="J18">
            <v>90831652</v>
          </cell>
        </row>
        <row r="19">
          <cell r="B19">
            <v>53372645</v>
          </cell>
          <cell r="C19">
            <v>8731981</v>
          </cell>
          <cell r="D19">
            <v>1441201</v>
          </cell>
          <cell r="E19">
            <v>43199463</v>
          </cell>
          <cell r="F19">
            <v>6636135</v>
          </cell>
          <cell r="G19">
            <v>23479757</v>
          </cell>
          <cell r="H19">
            <v>30115892</v>
          </cell>
          <cell r="I19">
            <v>12222410</v>
          </cell>
          <cell r="J19">
            <v>861159</v>
          </cell>
        </row>
        <row r="20">
          <cell r="B20">
            <v>585056960</v>
          </cell>
          <cell r="C20">
            <v>0</v>
          </cell>
          <cell r="D20">
            <v>20502485</v>
          </cell>
          <cell r="E20">
            <v>564554475</v>
          </cell>
          <cell r="F20">
            <v>62124682</v>
          </cell>
          <cell r="G20">
            <v>502429793</v>
          </cell>
          <cell r="H20">
            <v>564554475</v>
          </cell>
          <cell r="I20">
            <v>0</v>
          </cell>
          <cell r="J20">
            <v>0</v>
          </cell>
        </row>
        <row r="21">
          <cell r="B21">
            <v>247222289</v>
          </cell>
          <cell r="C21">
            <v>18352906</v>
          </cell>
          <cell r="D21">
            <v>2000000</v>
          </cell>
          <cell r="E21">
            <v>226869383</v>
          </cell>
          <cell r="F21">
            <v>108143930</v>
          </cell>
          <cell r="G21">
            <v>91652267</v>
          </cell>
          <cell r="H21">
            <v>199796197</v>
          </cell>
          <cell r="I21">
            <v>27073186</v>
          </cell>
          <cell r="J21">
            <v>0</v>
          </cell>
        </row>
        <row r="22">
          <cell r="B22">
            <v>164460754</v>
          </cell>
          <cell r="C22">
            <v>28199491</v>
          </cell>
          <cell r="D22">
            <v>11257997</v>
          </cell>
          <cell r="E22">
            <v>125003266</v>
          </cell>
          <cell r="F22">
            <v>38505453</v>
          </cell>
          <cell r="G22">
            <v>55629960</v>
          </cell>
          <cell r="H22">
            <v>94135413</v>
          </cell>
          <cell r="I22">
            <v>5444692</v>
          </cell>
          <cell r="J22">
            <v>25423161</v>
          </cell>
        </row>
        <row r="23">
          <cell r="B23">
            <v>120621502</v>
          </cell>
          <cell r="C23">
            <v>12741228</v>
          </cell>
          <cell r="D23">
            <v>4332070</v>
          </cell>
          <cell r="E23">
            <v>103548204</v>
          </cell>
          <cell r="F23">
            <v>50847441</v>
          </cell>
          <cell r="G23">
            <v>30852937</v>
          </cell>
          <cell r="H23">
            <v>81700378</v>
          </cell>
          <cell r="I23">
            <v>0</v>
          </cell>
          <cell r="J23">
            <v>21847826</v>
          </cell>
        </row>
        <row r="24">
          <cell r="B24">
            <v>218835932</v>
          </cell>
          <cell r="C24">
            <v>47135000</v>
          </cell>
          <cell r="D24">
            <v>0</v>
          </cell>
          <cell r="E24">
            <v>171700932</v>
          </cell>
          <cell r="F24">
            <v>53224624</v>
          </cell>
          <cell r="G24">
            <v>65917218</v>
          </cell>
          <cell r="H24">
            <v>119141842</v>
          </cell>
          <cell r="I24">
            <v>44068272</v>
          </cell>
          <cell r="J24">
            <v>8490818</v>
          </cell>
        </row>
        <row r="25">
          <cell r="B25">
            <v>355052664</v>
          </cell>
          <cell r="C25">
            <v>39030549</v>
          </cell>
          <cell r="D25">
            <v>16397197</v>
          </cell>
          <cell r="E25">
            <v>299624918</v>
          </cell>
          <cell r="F25">
            <v>60156557</v>
          </cell>
          <cell r="G25">
            <v>167455074</v>
          </cell>
          <cell r="H25">
            <v>227611631</v>
          </cell>
          <cell r="I25">
            <v>72013287</v>
          </cell>
          <cell r="J25">
            <v>0</v>
          </cell>
        </row>
        <row r="26">
          <cell r="B26">
            <v>118551019</v>
          </cell>
          <cell r="C26">
            <v>10699122</v>
          </cell>
          <cell r="D26">
            <v>7469450</v>
          </cell>
          <cell r="E26">
            <v>100382447</v>
          </cell>
          <cell r="F26">
            <v>44475153</v>
          </cell>
          <cell r="G26">
            <v>10493435</v>
          </cell>
          <cell r="H26">
            <v>54968588</v>
          </cell>
          <cell r="I26">
            <v>8553045</v>
          </cell>
          <cell r="J26">
            <v>36860814</v>
          </cell>
        </row>
        <row r="27">
          <cell r="B27">
            <v>289225248</v>
          </cell>
          <cell r="C27">
            <v>48884560</v>
          </cell>
          <cell r="D27">
            <v>22909803</v>
          </cell>
          <cell r="E27">
            <v>217430885</v>
          </cell>
          <cell r="F27">
            <v>69008738</v>
          </cell>
          <cell r="G27">
            <v>114124211</v>
          </cell>
          <cell r="H27">
            <v>183132949</v>
          </cell>
          <cell r="I27">
            <v>15453448</v>
          </cell>
          <cell r="J27">
            <v>18844488</v>
          </cell>
        </row>
        <row r="28">
          <cell r="B28">
            <v>471699894</v>
          </cell>
          <cell r="C28">
            <v>91874222</v>
          </cell>
          <cell r="D28">
            <v>42109023</v>
          </cell>
          <cell r="E28">
            <v>337716649</v>
          </cell>
          <cell r="F28">
            <v>153968175</v>
          </cell>
          <cell r="G28">
            <v>183748474</v>
          </cell>
          <cell r="H28">
            <v>337716649</v>
          </cell>
          <cell r="I28">
            <v>0</v>
          </cell>
          <cell r="J28">
            <v>0</v>
          </cell>
        </row>
        <row r="29">
          <cell r="B29">
            <v>868951350</v>
          </cell>
          <cell r="C29">
            <v>0</v>
          </cell>
          <cell r="D29">
            <v>20157975</v>
          </cell>
          <cell r="E29">
            <v>848793375</v>
          </cell>
          <cell r="F29">
            <v>232442380</v>
          </cell>
          <cell r="G29">
            <v>503293223</v>
          </cell>
          <cell r="H29">
            <v>735735603</v>
          </cell>
          <cell r="I29">
            <v>0</v>
          </cell>
          <cell r="J29">
            <v>113057772</v>
          </cell>
        </row>
        <row r="30">
          <cell r="B30">
            <v>388515180</v>
          </cell>
          <cell r="C30">
            <v>26603000</v>
          </cell>
          <cell r="D30">
            <v>3277034</v>
          </cell>
          <cell r="E30">
            <v>358635146</v>
          </cell>
          <cell r="F30">
            <v>134583595</v>
          </cell>
          <cell r="G30">
            <v>182605046</v>
          </cell>
          <cell r="H30">
            <v>317188641</v>
          </cell>
          <cell r="I30">
            <v>0</v>
          </cell>
          <cell r="J30">
            <v>41446505</v>
          </cell>
        </row>
        <row r="31">
          <cell r="B31">
            <v>121198175</v>
          </cell>
          <cell r="C31">
            <v>19323838</v>
          </cell>
          <cell r="D31">
            <v>59</v>
          </cell>
          <cell r="E31">
            <v>101874278</v>
          </cell>
          <cell r="F31">
            <v>61052039</v>
          </cell>
          <cell r="G31">
            <v>37235055</v>
          </cell>
          <cell r="H31">
            <v>98287094</v>
          </cell>
          <cell r="I31">
            <v>1204334</v>
          </cell>
          <cell r="J31">
            <v>2382850</v>
          </cell>
        </row>
        <row r="32">
          <cell r="B32">
            <v>238756915</v>
          </cell>
          <cell r="C32">
            <v>24882439</v>
          </cell>
          <cell r="D32">
            <v>21705174</v>
          </cell>
          <cell r="E32">
            <v>192169302</v>
          </cell>
          <cell r="F32">
            <v>68219966</v>
          </cell>
          <cell r="G32">
            <v>102244162</v>
          </cell>
          <cell r="H32">
            <v>170464128</v>
          </cell>
          <cell r="I32">
            <v>21705173</v>
          </cell>
          <cell r="J32">
            <v>1</v>
          </cell>
        </row>
        <row r="33">
          <cell r="B33">
            <v>62329098</v>
          </cell>
          <cell r="C33">
            <v>8612239</v>
          </cell>
          <cell r="D33">
            <v>3860602</v>
          </cell>
          <cell r="E33">
            <v>49856257</v>
          </cell>
          <cell r="F33">
            <v>33126623</v>
          </cell>
          <cell r="G33">
            <v>7755375</v>
          </cell>
          <cell r="H33">
            <v>40881998</v>
          </cell>
          <cell r="I33">
            <v>1120960</v>
          </cell>
          <cell r="J33">
            <v>7853299</v>
          </cell>
        </row>
        <row r="34">
          <cell r="B34">
            <v>75140536</v>
          </cell>
          <cell r="C34">
            <v>9000000</v>
          </cell>
          <cell r="D34">
            <v>0</v>
          </cell>
          <cell r="E34">
            <v>66140536</v>
          </cell>
          <cell r="F34">
            <v>36394529</v>
          </cell>
          <cell r="G34">
            <v>13581968</v>
          </cell>
          <cell r="H34">
            <v>49976497</v>
          </cell>
          <cell r="I34">
            <v>0</v>
          </cell>
          <cell r="J34">
            <v>16164039</v>
          </cell>
        </row>
        <row r="35">
          <cell r="B35">
            <v>69681723</v>
          </cell>
          <cell r="C35">
            <v>0</v>
          </cell>
          <cell r="D35">
            <v>932868</v>
          </cell>
          <cell r="E35">
            <v>68748855</v>
          </cell>
          <cell r="F35">
            <v>32783810</v>
          </cell>
          <cell r="G35">
            <v>24863464</v>
          </cell>
          <cell r="H35">
            <v>57647274</v>
          </cell>
          <cell r="I35">
            <v>1132417</v>
          </cell>
          <cell r="J35">
            <v>9969164</v>
          </cell>
        </row>
        <row r="36">
          <cell r="B36">
            <v>55748120</v>
          </cell>
          <cell r="C36">
            <v>1195910</v>
          </cell>
          <cell r="D36">
            <v>2931389</v>
          </cell>
          <cell r="E36">
            <v>51620821</v>
          </cell>
          <cell r="F36">
            <v>20345852</v>
          </cell>
          <cell r="G36">
            <v>19814842</v>
          </cell>
          <cell r="H36">
            <v>40160694</v>
          </cell>
          <cell r="I36">
            <v>0</v>
          </cell>
          <cell r="J36">
            <v>11460127</v>
          </cell>
        </row>
        <row r="37">
          <cell r="B37">
            <v>733794366</v>
          </cell>
          <cell r="C37">
            <v>25665017</v>
          </cell>
          <cell r="D37">
            <v>15341351</v>
          </cell>
          <cell r="E37">
            <v>692787998</v>
          </cell>
          <cell r="F37">
            <v>186840569</v>
          </cell>
          <cell r="G37">
            <v>257416165</v>
          </cell>
          <cell r="H37">
            <v>444256734</v>
          </cell>
          <cell r="I37">
            <v>48578247</v>
          </cell>
          <cell r="J37">
            <v>199953017</v>
          </cell>
        </row>
        <row r="38">
          <cell r="B38">
            <v>168213435</v>
          </cell>
          <cell r="C38">
            <v>29813209</v>
          </cell>
          <cell r="D38">
            <v>2000000</v>
          </cell>
          <cell r="E38">
            <v>136400226</v>
          </cell>
          <cell r="F38">
            <v>63233778</v>
          </cell>
          <cell r="G38">
            <v>27189092</v>
          </cell>
          <cell r="H38">
            <v>90422870</v>
          </cell>
          <cell r="I38">
            <v>36672979</v>
          </cell>
          <cell r="J38">
            <v>9304377</v>
          </cell>
        </row>
        <row r="39">
          <cell r="B39">
            <v>3528246804</v>
          </cell>
          <cell r="C39">
            <v>39900000</v>
          </cell>
          <cell r="D39">
            <v>244000000</v>
          </cell>
          <cell r="E39">
            <v>3244346804</v>
          </cell>
          <cell r="F39">
            <v>1491467227</v>
          </cell>
          <cell r="G39">
            <v>1291730586</v>
          </cell>
          <cell r="H39">
            <v>2783197813</v>
          </cell>
          <cell r="I39">
            <v>199779844</v>
          </cell>
          <cell r="J39">
            <v>261369147</v>
          </cell>
        </row>
        <row r="40">
          <cell r="B40">
            <v>390729267</v>
          </cell>
          <cell r="C40">
            <v>74499688</v>
          </cell>
          <cell r="D40">
            <v>4544769</v>
          </cell>
          <cell r="E40">
            <v>311684810</v>
          </cell>
          <cell r="F40">
            <v>113176702</v>
          </cell>
          <cell r="G40">
            <v>138977047</v>
          </cell>
          <cell r="H40">
            <v>252153749</v>
          </cell>
          <cell r="I40">
            <v>56013410</v>
          </cell>
          <cell r="J40">
            <v>3517651</v>
          </cell>
        </row>
        <row r="41">
          <cell r="B41">
            <v>42962917</v>
          </cell>
          <cell r="C41">
            <v>0</v>
          </cell>
          <cell r="D41">
            <v>0</v>
          </cell>
          <cell r="E41">
            <v>42962917</v>
          </cell>
          <cell r="F41">
            <v>19725709</v>
          </cell>
          <cell r="G41">
            <v>13120055</v>
          </cell>
          <cell r="H41">
            <v>32845764</v>
          </cell>
          <cell r="I41">
            <v>0</v>
          </cell>
          <cell r="J41">
            <v>10117153</v>
          </cell>
        </row>
        <row r="42">
          <cell r="B42">
            <v>1270278270</v>
          </cell>
          <cell r="C42">
            <v>0</v>
          </cell>
          <cell r="D42">
            <v>74935420</v>
          </cell>
          <cell r="E42">
            <v>1195342850</v>
          </cell>
          <cell r="F42">
            <v>139269860</v>
          </cell>
          <cell r="G42">
            <v>474514313</v>
          </cell>
          <cell r="H42">
            <v>613784173</v>
          </cell>
          <cell r="I42">
            <v>239638064</v>
          </cell>
          <cell r="J42">
            <v>341920613</v>
          </cell>
        </row>
        <row r="43">
          <cell r="B43">
            <v>308031500</v>
          </cell>
          <cell r="C43">
            <v>30822071</v>
          </cell>
          <cell r="D43">
            <v>15411035</v>
          </cell>
          <cell r="E43">
            <v>261798394</v>
          </cell>
          <cell r="F43">
            <v>121710555</v>
          </cell>
          <cell r="G43">
            <v>20384951</v>
          </cell>
          <cell r="H43">
            <v>142095506</v>
          </cell>
          <cell r="I43">
            <v>0</v>
          </cell>
          <cell r="J43">
            <v>119702888</v>
          </cell>
        </row>
        <row r="44">
          <cell r="B44">
            <v>183540235</v>
          </cell>
          <cell r="C44">
            <v>0</v>
          </cell>
          <cell r="D44">
            <v>0</v>
          </cell>
          <cell r="E44">
            <v>183540235</v>
          </cell>
          <cell r="F44">
            <v>83751601</v>
          </cell>
          <cell r="G44">
            <v>71368148</v>
          </cell>
          <cell r="H44">
            <v>155119749</v>
          </cell>
          <cell r="I44">
            <v>28420486</v>
          </cell>
          <cell r="J44">
            <v>0</v>
          </cell>
        </row>
        <row r="45">
          <cell r="B45">
            <v>1289125686</v>
          </cell>
          <cell r="C45">
            <v>124484000</v>
          </cell>
          <cell r="D45">
            <v>30579000</v>
          </cell>
          <cell r="E45">
            <v>1134062686</v>
          </cell>
          <cell r="F45">
            <v>157685533</v>
          </cell>
          <cell r="G45">
            <v>543694734</v>
          </cell>
          <cell r="H45">
            <v>701380267</v>
          </cell>
          <cell r="I45">
            <v>277432010</v>
          </cell>
          <cell r="J45">
            <v>155250409</v>
          </cell>
        </row>
        <row r="46">
          <cell r="B46">
            <v>97879798</v>
          </cell>
          <cell r="C46">
            <v>9091106</v>
          </cell>
          <cell r="D46">
            <v>0</v>
          </cell>
          <cell r="E46">
            <v>88788692</v>
          </cell>
          <cell r="F46">
            <v>60069400</v>
          </cell>
          <cell r="G46">
            <v>25861081</v>
          </cell>
          <cell r="H46">
            <v>85930481</v>
          </cell>
          <cell r="I46">
            <v>0</v>
          </cell>
          <cell r="J46">
            <v>2858211</v>
          </cell>
        </row>
        <row r="47">
          <cell r="B47">
            <v>119077790</v>
          </cell>
          <cell r="C47">
            <v>1300000</v>
          </cell>
          <cell r="D47">
            <v>5262210</v>
          </cell>
          <cell r="E47">
            <v>112515580</v>
          </cell>
          <cell r="F47">
            <v>36737542</v>
          </cell>
          <cell r="G47">
            <v>75778038</v>
          </cell>
          <cell r="H47">
            <v>112515580</v>
          </cell>
          <cell r="I47">
            <v>0</v>
          </cell>
          <cell r="J47">
            <v>0</v>
          </cell>
        </row>
        <row r="48">
          <cell r="B48">
            <v>45400539</v>
          </cell>
          <cell r="C48">
            <v>1700000</v>
          </cell>
          <cell r="D48">
            <v>2286524</v>
          </cell>
          <cell r="E48">
            <v>41414015</v>
          </cell>
          <cell r="F48">
            <v>12755031</v>
          </cell>
          <cell r="G48">
            <v>5162432</v>
          </cell>
          <cell r="H48">
            <v>17917463</v>
          </cell>
          <cell r="I48">
            <v>386797</v>
          </cell>
          <cell r="J48">
            <v>23109755</v>
          </cell>
        </row>
        <row r="49">
          <cell r="B49">
            <v>243292515</v>
          </cell>
          <cell r="C49">
            <v>52025586</v>
          </cell>
          <cell r="D49">
            <v>5265988</v>
          </cell>
          <cell r="E49">
            <v>186000941</v>
          </cell>
          <cell r="F49">
            <v>129962815</v>
          </cell>
          <cell r="G49">
            <v>56038126</v>
          </cell>
          <cell r="H49">
            <v>186000941</v>
          </cell>
          <cell r="I49">
            <v>0</v>
          </cell>
          <cell r="J49">
            <v>0</v>
          </cell>
        </row>
        <row r="50">
          <cell r="B50">
            <v>855007341</v>
          </cell>
          <cell r="C50">
            <v>-2349075</v>
          </cell>
          <cell r="D50">
            <v>27159154</v>
          </cell>
          <cell r="E50">
            <v>830197262</v>
          </cell>
          <cell r="F50">
            <v>291860735</v>
          </cell>
          <cell r="G50">
            <v>372181182</v>
          </cell>
          <cell r="H50">
            <v>664041917</v>
          </cell>
          <cell r="I50">
            <v>33278111</v>
          </cell>
          <cell r="J50">
            <v>132877234</v>
          </cell>
        </row>
        <row r="51">
          <cell r="B51">
            <v>138441052</v>
          </cell>
          <cell r="C51">
            <v>0</v>
          </cell>
          <cell r="D51">
            <v>12462419</v>
          </cell>
          <cell r="E51">
            <v>125978633</v>
          </cell>
          <cell r="F51">
            <v>49133210</v>
          </cell>
          <cell r="G51">
            <v>56817858</v>
          </cell>
          <cell r="H51">
            <v>105951068</v>
          </cell>
          <cell r="I51">
            <v>0</v>
          </cell>
          <cell r="J51">
            <v>20027565</v>
          </cell>
        </row>
        <row r="52">
          <cell r="B52">
            <v>48623462</v>
          </cell>
          <cell r="C52">
            <v>9224074</v>
          </cell>
          <cell r="D52">
            <v>4735318</v>
          </cell>
          <cell r="E52">
            <v>34664070</v>
          </cell>
          <cell r="F52">
            <v>25713338</v>
          </cell>
          <cell r="G52">
            <v>8950732</v>
          </cell>
          <cell r="H52">
            <v>34664070</v>
          </cell>
          <cell r="I52">
            <v>0</v>
          </cell>
          <cell r="J52">
            <v>0</v>
          </cell>
        </row>
        <row r="53">
          <cell r="B53">
            <v>183625387</v>
          </cell>
          <cell r="C53">
            <v>-8189221</v>
          </cell>
          <cell r="D53">
            <v>15828172</v>
          </cell>
          <cell r="E53">
            <v>175986436</v>
          </cell>
          <cell r="F53">
            <v>66084470</v>
          </cell>
          <cell r="G53">
            <v>79109036</v>
          </cell>
          <cell r="H53">
            <v>145193506</v>
          </cell>
          <cell r="I53">
            <v>12603709</v>
          </cell>
          <cell r="J53">
            <v>18189221</v>
          </cell>
        </row>
        <row r="54">
          <cell r="B54">
            <v>454950703</v>
          </cell>
          <cell r="C54">
            <v>107300000</v>
          </cell>
          <cell r="D54">
            <v>10426130</v>
          </cell>
          <cell r="E54">
            <v>337224573</v>
          </cell>
          <cell r="F54">
            <v>102296180</v>
          </cell>
          <cell r="G54">
            <v>205171177</v>
          </cell>
          <cell r="H54">
            <v>307467357</v>
          </cell>
          <cell r="I54">
            <v>29757216</v>
          </cell>
          <cell r="J54">
            <v>0</v>
          </cell>
        </row>
        <row r="55">
          <cell r="B55">
            <v>142009708</v>
          </cell>
          <cell r="C55">
            <v>0</v>
          </cell>
          <cell r="D55">
            <v>6947755</v>
          </cell>
          <cell r="E55">
            <v>135061953</v>
          </cell>
          <cell r="F55">
            <v>62729620</v>
          </cell>
          <cell r="G55">
            <v>59684986</v>
          </cell>
          <cell r="H55">
            <v>122414606</v>
          </cell>
          <cell r="I55">
            <v>0</v>
          </cell>
          <cell r="J55">
            <v>12647347</v>
          </cell>
        </row>
        <row r="56">
          <cell r="B56">
            <v>500046546</v>
          </cell>
          <cell r="C56">
            <v>65308581</v>
          </cell>
          <cell r="D56">
            <v>13440834</v>
          </cell>
          <cell r="E56">
            <v>421297131</v>
          </cell>
          <cell r="F56">
            <v>68684895</v>
          </cell>
          <cell r="G56">
            <v>252251729</v>
          </cell>
          <cell r="H56">
            <v>320936624</v>
          </cell>
          <cell r="I56">
            <v>15312516</v>
          </cell>
          <cell r="J56">
            <v>85047992</v>
          </cell>
        </row>
        <row r="57">
          <cell r="B57">
            <v>128373739</v>
          </cell>
          <cell r="C57">
            <v>11679671</v>
          </cell>
          <cell r="D57">
            <v>8014036</v>
          </cell>
          <cell r="E57">
            <v>108680032</v>
          </cell>
          <cell r="F57">
            <v>4866769</v>
          </cell>
          <cell r="G57">
            <v>37068096</v>
          </cell>
          <cell r="H57">
            <v>41934865</v>
          </cell>
          <cell r="I57">
            <v>29988440</v>
          </cell>
          <cell r="J57">
            <v>36756727</v>
          </cell>
        </row>
        <row r="58">
          <cell r="B58">
            <v>22856629044</v>
          </cell>
          <cell r="C58">
            <v>1790167397</v>
          </cell>
          <cell r="D58">
            <v>926728189</v>
          </cell>
          <cell r="E58">
            <v>20139733458</v>
          </cell>
          <cell r="F58">
            <v>7271427945</v>
          </cell>
          <cell r="G58">
            <v>8982215514</v>
          </cell>
          <cell r="H58">
            <v>16253643459</v>
          </cell>
          <cell r="I58">
            <v>1580226894</v>
          </cell>
          <cell r="J58">
            <v>2305863104</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FY03 Template"/>
      <sheetName val="state by state"/>
      <sheetName val="grants"/>
      <sheetName val="AUPL 02"/>
      <sheetName val="Table B MOE assistance &amp; non"/>
      <sheetName val="Table C SSP assistance &amp;non"/>
      <sheetName val="TableE_AnalysisOfStateMOE_Spend"/>
      <sheetName val="SpendingFromFedlTANFgrantInFY A"/>
      <sheetName val="TANF assistance"/>
      <sheetName val="TANF non-assistance"/>
      <sheetName val="B&amp;C vs. E"/>
      <sheetName val="FY 2014 Work-Related"/>
    </sheetNames>
    <sheetDataSet>
      <sheetData sheetId="0"/>
      <sheetData sheetId="1"/>
      <sheetData sheetId="2"/>
      <sheetData sheetId="3"/>
      <sheetData sheetId="4"/>
      <sheetData sheetId="5"/>
      <sheetData sheetId="6"/>
      <sheetData sheetId="7"/>
      <sheetData sheetId="8">
        <row r="7">
          <cell r="A7" t="str">
            <v>ALABAMA</v>
          </cell>
          <cell r="B7">
            <v>49120216</v>
          </cell>
          <cell r="C7">
            <v>44921372</v>
          </cell>
          <cell r="D7">
            <v>71004</v>
          </cell>
          <cell r="E7">
            <v>4127840</v>
          </cell>
          <cell r="F7">
            <v>0</v>
          </cell>
          <cell r="G7">
            <v>0.37</v>
          </cell>
        </row>
        <row r="8">
          <cell r="A8" t="str">
            <v>ALASKA</v>
          </cell>
          <cell r="B8">
            <v>22403180</v>
          </cell>
          <cell r="C8">
            <v>17051867</v>
          </cell>
          <cell r="D8">
            <v>4386306</v>
          </cell>
          <cell r="E8">
            <v>965007</v>
          </cell>
          <cell r="F8">
            <v>0</v>
          </cell>
          <cell r="G8">
            <v>0.51</v>
          </cell>
        </row>
        <row r="9">
          <cell r="A9" t="str">
            <v>ARIZONA</v>
          </cell>
          <cell r="B9">
            <v>126069037</v>
          </cell>
          <cell r="C9">
            <v>126065473</v>
          </cell>
          <cell r="D9">
            <v>0</v>
          </cell>
          <cell r="E9">
            <v>3564</v>
          </cell>
          <cell r="F9">
            <v>0</v>
          </cell>
          <cell r="G9">
            <v>0.48</v>
          </cell>
        </row>
        <row r="10">
          <cell r="A10" t="str">
            <v>ARKANSAS</v>
          </cell>
          <cell r="B10">
            <v>14116159</v>
          </cell>
          <cell r="C10">
            <v>14116159</v>
          </cell>
          <cell r="D10">
            <v>0</v>
          </cell>
          <cell r="E10">
            <v>0</v>
          </cell>
          <cell r="F10">
            <v>0</v>
          </cell>
          <cell r="G10">
            <v>0.44</v>
          </cell>
        </row>
        <row r="11">
          <cell r="A11" t="str">
            <v>CALIFORNIA</v>
          </cell>
          <cell r="B11">
            <v>2151909993</v>
          </cell>
          <cell r="C11">
            <v>1535349002</v>
          </cell>
          <cell r="D11">
            <v>172361458</v>
          </cell>
          <cell r="E11">
            <v>166833686</v>
          </cell>
          <cell r="F11">
            <v>277365847</v>
          </cell>
          <cell r="G11">
            <v>0.59</v>
          </cell>
        </row>
        <row r="12">
          <cell r="A12" t="str">
            <v>COLORADO</v>
          </cell>
          <cell r="B12">
            <v>42399741</v>
          </cell>
          <cell r="C12">
            <v>41234221</v>
          </cell>
          <cell r="D12">
            <v>0</v>
          </cell>
          <cell r="E12">
            <v>1165520</v>
          </cell>
          <cell r="F12">
            <v>0</v>
          </cell>
          <cell r="G12">
            <v>0.38</v>
          </cell>
        </row>
        <row r="13">
          <cell r="A13" t="str">
            <v>CONNECTICUT</v>
          </cell>
          <cell r="B13">
            <v>48885011</v>
          </cell>
          <cell r="C13">
            <v>44225255</v>
          </cell>
          <cell r="D13">
            <v>0</v>
          </cell>
          <cell r="E13">
            <v>2413994</v>
          </cell>
          <cell r="F13">
            <v>2245762</v>
          </cell>
          <cell r="G13">
            <v>0.19</v>
          </cell>
        </row>
        <row r="14">
          <cell r="A14" t="str">
            <v>DELAWARE</v>
          </cell>
          <cell r="B14">
            <v>24571749</v>
          </cell>
          <cell r="C14">
            <v>17145224</v>
          </cell>
          <cell r="D14">
            <v>0</v>
          </cell>
          <cell r="E14">
            <v>7426525</v>
          </cell>
          <cell r="F14">
            <v>0</v>
          </cell>
          <cell r="G14">
            <v>0.88</v>
          </cell>
        </row>
        <row r="15">
          <cell r="A15" t="str">
            <v>DIST.OF COLUMBIA</v>
          </cell>
          <cell r="B15">
            <v>17255243</v>
          </cell>
          <cell r="C15">
            <v>17255243</v>
          </cell>
          <cell r="D15">
            <v>0</v>
          </cell>
          <cell r="E15">
            <v>0</v>
          </cell>
          <cell r="F15">
            <v>0</v>
          </cell>
          <cell r="G15">
            <v>0.19</v>
          </cell>
        </row>
        <row r="16">
          <cell r="A16" t="str">
            <v>FLORIDA</v>
          </cell>
          <cell r="B16">
            <v>72776893</v>
          </cell>
          <cell r="C16">
            <v>43444074</v>
          </cell>
          <cell r="D16">
            <v>27940570</v>
          </cell>
          <cell r="E16">
            <v>1392249</v>
          </cell>
          <cell r="F16">
            <v>0</v>
          </cell>
          <cell r="G16">
            <v>0.15</v>
          </cell>
        </row>
        <row r="17">
          <cell r="A17" t="str">
            <v>GEORGIA</v>
          </cell>
          <cell r="B17">
            <v>107208919</v>
          </cell>
          <cell r="C17">
            <v>98807957</v>
          </cell>
          <cell r="D17">
            <v>0</v>
          </cell>
          <cell r="E17">
            <v>8400962</v>
          </cell>
          <cell r="F17">
            <v>0</v>
          </cell>
          <cell r="G17">
            <v>0.33</v>
          </cell>
        </row>
        <row r="18">
          <cell r="A18" t="str">
            <v>HAWAII</v>
          </cell>
          <cell r="B18">
            <v>40916583</v>
          </cell>
          <cell r="C18">
            <v>40916583</v>
          </cell>
          <cell r="D18">
            <v>0</v>
          </cell>
          <cell r="E18">
            <v>0</v>
          </cell>
          <cell r="F18">
            <v>0</v>
          </cell>
          <cell r="G18">
            <v>0.71</v>
          </cell>
        </row>
        <row r="19">
          <cell r="A19" t="str">
            <v>IDAHO</v>
          </cell>
          <cell r="B19">
            <v>6636135</v>
          </cell>
          <cell r="C19">
            <v>6345623</v>
          </cell>
          <cell r="D19">
            <v>0</v>
          </cell>
          <cell r="E19">
            <v>290512</v>
          </cell>
          <cell r="F19">
            <v>0</v>
          </cell>
          <cell r="G19">
            <v>0.22</v>
          </cell>
        </row>
        <row r="20">
          <cell r="A20" t="str">
            <v>ILLINOIS</v>
          </cell>
          <cell r="B20">
            <v>62124682</v>
          </cell>
          <cell r="C20">
            <v>59153847</v>
          </cell>
          <cell r="D20">
            <v>0</v>
          </cell>
          <cell r="E20">
            <v>2970835</v>
          </cell>
          <cell r="F20">
            <v>0</v>
          </cell>
          <cell r="G20">
            <v>0.11</v>
          </cell>
        </row>
        <row r="21">
          <cell r="A21" t="str">
            <v>INDIANA</v>
          </cell>
          <cell r="B21">
            <v>108143930</v>
          </cell>
          <cell r="C21">
            <v>114955215</v>
          </cell>
          <cell r="D21">
            <v>0</v>
          </cell>
          <cell r="E21">
            <v>-6811285</v>
          </cell>
          <cell r="F21">
            <v>0</v>
          </cell>
          <cell r="G21">
            <v>0.54</v>
          </cell>
        </row>
        <row r="22">
          <cell r="A22" t="str">
            <v>IOWA</v>
          </cell>
          <cell r="B22">
            <v>38505453</v>
          </cell>
          <cell r="C22">
            <v>38505453</v>
          </cell>
          <cell r="D22">
            <v>0</v>
          </cell>
          <cell r="E22">
            <v>0</v>
          </cell>
          <cell r="F22">
            <v>0</v>
          </cell>
          <cell r="G22">
            <v>0.41</v>
          </cell>
        </row>
        <row r="23">
          <cell r="A23" t="str">
            <v>KANSAS</v>
          </cell>
          <cell r="B23">
            <v>50847441</v>
          </cell>
          <cell r="C23">
            <v>29042335</v>
          </cell>
          <cell r="D23">
            <v>0</v>
          </cell>
          <cell r="E23">
            <v>6481209</v>
          </cell>
          <cell r="F23">
            <v>15323897</v>
          </cell>
          <cell r="G23">
            <v>0.62</v>
          </cell>
        </row>
        <row r="24">
          <cell r="A24" t="str">
            <v>KENTUCKY</v>
          </cell>
          <cell r="B24">
            <v>53224624</v>
          </cell>
          <cell r="C24">
            <v>43671510</v>
          </cell>
          <cell r="D24">
            <v>6514781</v>
          </cell>
          <cell r="E24">
            <v>3038333</v>
          </cell>
          <cell r="F24">
            <v>0</v>
          </cell>
          <cell r="G24">
            <v>0.45</v>
          </cell>
        </row>
        <row r="25">
          <cell r="A25" t="str">
            <v>LOUISIANA</v>
          </cell>
          <cell r="B25">
            <v>60156557</v>
          </cell>
          <cell r="C25">
            <v>59692754</v>
          </cell>
          <cell r="D25">
            <v>0</v>
          </cell>
          <cell r="E25">
            <v>463803</v>
          </cell>
          <cell r="F25">
            <v>0</v>
          </cell>
          <cell r="G25">
            <v>0.26</v>
          </cell>
        </row>
        <row r="26">
          <cell r="A26" t="str">
            <v>MAINE</v>
          </cell>
          <cell r="B26">
            <v>44475153</v>
          </cell>
          <cell r="C26">
            <v>28079126</v>
          </cell>
          <cell r="D26">
            <v>8998797</v>
          </cell>
          <cell r="E26">
            <v>7397230</v>
          </cell>
          <cell r="F26">
            <v>0</v>
          </cell>
          <cell r="G26">
            <v>0.81</v>
          </cell>
        </row>
        <row r="27">
          <cell r="A27" t="str">
            <v>MARYLAND</v>
          </cell>
          <cell r="B27">
            <v>69008738</v>
          </cell>
          <cell r="C27">
            <v>69008738</v>
          </cell>
          <cell r="D27">
            <v>0</v>
          </cell>
          <cell r="E27">
            <v>0</v>
          </cell>
          <cell r="F27">
            <v>0</v>
          </cell>
          <cell r="G27">
            <v>0.38</v>
          </cell>
        </row>
        <row r="28">
          <cell r="A28" t="str">
            <v>MASSACHUSETTS</v>
          </cell>
          <cell r="B28">
            <v>153968175</v>
          </cell>
          <cell r="C28">
            <v>144001809</v>
          </cell>
          <cell r="D28">
            <v>9845418</v>
          </cell>
          <cell r="E28">
            <v>120948</v>
          </cell>
          <cell r="F28">
            <v>0</v>
          </cell>
          <cell r="G28">
            <v>0.46</v>
          </cell>
        </row>
        <row r="29">
          <cell r="A29" t="str">
            <v>MICHIGAN</v>
          </cell>
          <cell r="B29">
            <v>232442380</v>
          </cell>
          <cell r="C29">
            <v>206088132</v>
          </cell>
          <cell r="D29">
            <v>26354248</v>
          </cell>
          <cell r="E29">
            <v>0</v>
          </cell>
          <cell r="F29">
            <v>0</v>
          </cell>
          <cell r="G29">
            <v>0.32</v>
          </cell>
        </row>
        <row r="30">
          <cell r="A30" t="str">
            <v>MINNESOTA</v>
          </cell>
          <cell r="B30">
            <v>134583595</v>
          </cell>
          <cell r="C30">
            <v>134527503</v>
          </cell>
          <cell r="D30">
            <v>0</v>
          </cell>
          <cell r="E30">
            <v>56092</v>
          </cell>
          <cell r="F30">
            <v>0</v>
          </cell>
          <cell r="G30">
            <v>0.42</v>
          </cell>
        </row>
        <row r="31">
          <cell r="A31" t="str">
            <v>MISSISSIPPI</v>
          </cell>
          <cell r="B31">
            <v>61052039</v>
          </cell>
          <cell r="C31">
            <v>34419238</v>
          </cell>
          <cell r="D31">
            <v>7164461</v>
          </cell>
          <cell r="E31">
            <v>19468340</v>
          </cell>
          <cell r="F31">
            <v>0</v>
          </cell>
          <cell r="G31">
            <v>0.62</v>
          </cell>
        </row>
        <row r="32">
          <cell r="A32" t="str">
            <v>MISSOURI</v>
          </cell>
          <cell r="B32">
            <v>68219966</v>
          </cell>
          <cell r="C32">
            <v>68219965</v>
          </cell>
          <cell r="D32">
            <v>0</v>
          </cell>
          <cell r="E32">
            <v>0</v>
          </cell>
          <cell r="F32">
            <v>1</v>
          </cell>
          <cell r="G32">
            <v>0.4</v>
          </cell>
        </row>
        <row r="33">
          <cell r="A33" t="str">
            <v>MONTANA</v>
          </cell>
          <cell r="B33">
            <v>33126623</v>
          </cell>
          <cell r="C33">
            <v>31283345</v>
          </cell>
          <cell r="D33">
            <v>0</v>
          </cell>
          <cell r="E33">
            <v>0</v>
          </cell>
          <cell r="F33">
            <v>1843278</v>
          </cell>
          <cell r="G33">
            <v>0.81</v>
          </cell>
        </row>
        <row r="34">
          <cell r="A34" t="str">
            <v>NEBRASKA</v>
          </cell>
          <cell r="B34">
            <v>36394529</v>
          </cell>
          <cell r="C34">
            <v>36394529</v>
          </cell>
          <cell r="D34">
            <v>0</v>
          </cell>
          <cell r="E34">
            <v>0</v>
          </cell>
          <cell r="F34">
            <v>0</v>
          </cell>
          <cell r="G34">
            <v>0.73</v>
          </cell>
        </row>
        <row r="35">
          <cell r="A35" t="str">
            <v>NEVADA</v>
          </cell>
          <cell r="B35">
            <v>32783810</v>
          </cell>
          <cell r="C35">
            <v>27820235</v>
          </cell>
          <cell r="D35">
            <v>783376</v>
          </cell>
          <cell r="E35">
            <v>490062</v>
          </cell>
          <cell r="F35">
            <v>3690137</v>
          </cell>
          <cell r="G35">
            <v>0.56999999999999995</v>
          </cell>
        </row>
        <row r="36">
          <cell r="A36" t="str">
            <v>NEW HAMPSHIRE</v>
          </cell>
          <cell r="B36">
            <v>20345852</v>
          </cell>
          <cell r="C36">
            <v>22587096</v>
          </cell>
          <cell r="D36">
            <v>0</v>
          </cell>
          <cell r="E36">
            <v>0</v>
          </cell>
          <cell r="F36">
            <v>-2241244</v>
          </cell>
          <cell r="G36">
            <v>0.51</v>
          </cell>
        </row>
        <row r="37">
          <cell r="A37" t="str">
            <v>NEW JERSEY</v>
          </cell>
          <cell r="B37">
            <v>186840569</v>
          </cell>
          <cell r="C37">
            <v>166297462</v>
          </cell>
          <cell r="D37">
            <v>9388750</v>
          </cell>
          <cell r="E37">
            <v>11154357</v>
          </cell>
          <cell r="F37">
            <v>0</v>
          </cell>
          <cell r="G37">
            <v>0.42</v>
          </cell>
        </row>
        <row r="38">
          <cell r="A38" t="str">
            <v>NEW MEXICO</v>
          </cell>
          <cell r="B38">
            <v>63233778</v>
          </cell>
          <cell r="C38">
            <v>62687660</v>
          </cell>
          <cell r="D38">
            <v>0</v>
          </cell>
          <cell r="E38">
            <v>546118</v>
          </cell>
          <cell r="F38">
            <v>0</v>
          </cell>
          <cell r="G38">
            <v>0.7</v>
          </cell>
        </row>
        <row r="39">
          <cell r="A39" t="str">
            <v>NEW YORK</v>
          </cell>
          <cell r="B39">
            <v>1491467227</v>
          </cell>
          <cell r="C39">
            <v>1101636536</v>
          </cell>
          <cell r="D39">
            <v>0</v>
          </cell>
          <cell r="E39">
            <v>0</v>
          </cell>
          <cell r="F39">
            <v>389830691</v>
          </cell>
          <cell r="G39">
            <v>0.54</v>
          </cell>
        </row>
        <row r="40">
          <cell r="A40" t="str">
            <v>NORTH CAROLINA</v>
          </cell>
          <cell r="B40">
            <v>113176702</v>
          </cell>
          <cell r="C40">
            <v>110544210</v>
          </cell>
          <cell r="D40">
            <v>0</v>
          </cell>
          <cell r="E40">
            <v>0</v>
          </cell>
          <cell r="F40">
            <v>2632492</v>
          </cell>
          <cell r="G40">
            <v>0.45</v>
          </cell>
        </row>
        <row r="41">
          <cell r="A41" t="str">
            <v>NORTH DAKOTA</v>
          </cell>
          <cell r="B41">
            <v>19725709</v>
          </cell>
          <cell r="C41">
            <v>9831272</v>
          </cell>
          <cell r="D41">
            <v>952933</v>
          </cell>
          <cell r="E41">
            <v>1089757</v>
          </cell>
          <cell r="F41">
            <v>7851747</v>
          </cell>
          <cell r="G41">
            <v>0.6</v>
          </cell>
        </row>
        <row r="42">
          <cell r="A42" t="str">
            <v>OHIO</v>
          </cell>
          <cell r="B42">
            <v>139269860</v>
          </cell>
          <cell r="C42">
            <v>137924864</v>
          </cell>
          <cell r="D42">
            <v>0</v>
          </cell>
          <cell r="E42">
            <v>1344996</v>
          </cell>
          <cell r="F42">
            <v>0</v>
          </cell>
          <cell r="G42">
            <v>0.23</v>
          </cell>
        </row>
        <row r="43">
          <cell r="A43" t="str">
            <v>OKLAHOMA</v>
          </cell>
          <cell r="B43">
            <v>121710555</v>
          </cell>
          <cell r="C43">
            <v>45669703</v>
          </cell>
          <cell r="D43">
            <v>41389144</v>
          </cell>
          <cell r="E43">
            <v>17182703</v>
          </cell>
          <cell r="F43">
            <v>17469005</v>
          </cell>
          <cell r="G43">
            <v>0.86</v>
          </cell>
        </row>
        <row r="44">
          <cell r="A44" t="str">
            <v>OREGON</v>
          </cell>
          <cell r="B44">
            <v>83751601</v>
          </cell>
          <cell r="C44">
            <v>63047478</v>
          </cell>
          <cell r="D44">
            <v>7225786</v>
          </cell>
          <cell r="E44">
            <v>8698843</v>
          </cell>
          <cell r="F44">
            <v>4779494</v>
          </cell>
          <cell r="G44">
            <v>0.54</v>
          </cell>
        </row>
        <row r="45">
          <cell r="A45" t="str">
            <v>PENNSYLVANIA</v>
          </cell>
          <cell r="B45">
            <v>157685533</v>
          </cell>
          <cell r="C45">
            <v>146881618</v>
          </cell>
          <cell r="D45">
            <v>0</v>
          </cell>
          <cell r="E45">
            <v>10803915</v>
          </cell>
          <cell r="F45">
            <v>0</v>
          </cell>
          <cell r="G45">
            <v>0.22</v>
          </cell>
        </row>
        <row r="46">
          <cell r="A46" t="str">
            <v>RHODE ISLAND</v>
          </cell>
          <cell r="B46">
            <v>60069400</v>
          </cell>
          <cell r="C46">
            <v>59818483</v>
          </cell>
          <cell r="D46">
            <v>0</v>
          </cell>
          <cell r="E46">
            <v>250917</v>
          </cell>
          <cell r="F46">
            <v>0</v>
          </cell>
          <cell r="G46">
            <v>0.7</v>
          </cell>
        </row>
        <row r="47">
          <cell r="A47" t="str">
            <v>SOUTH CAROLINA</v>
          </cell>
          <cell r="B47">
            <v>36737542</v>
          </cell>
          <cell r="C47">
            <v>34497529</v>
          </cell>
          <cell r="D47">
            <v>0</v>
          </cell>
          <cell r="E47">
            <v>2240013</v>
          </cell>
          <cell r="F47">
            <v>0</v>
          </cell>
          <cell r="G47">
            <v>0.33</v>
          </cell>
        </row>
        <row r="48">
          <cell r="A48" t="str">
            <v>SOUTH DAKOTA</v>
          </cell>
          <cell r="B48">
            <v>12755031</v>
          </cell>
          <cell r="C48">
            <v>5714560</v>
          </cell>
          <cell r="D48">
            <v>0</v>
          </cell>
          <cell r="E48">
            <v>0</v>
          </cell>
          <cell r="F48">
            <v>7040471</v>
          </cell>
          <cell r="G48">
            <v>0.71</v>
          </cell>
        </row>
        <row r="49">
          <cell r="A49" t="str">
            <v>TENNESSEE</v>
          </cell>
          <cell r="B49">
            <v>129962815</v>
          </cell>
          <cell r="C49">
            <v>119789642</v>
          </cell>
          <cell r="D49">
            <v>8298169</v>
          </cell>
          <cell r="E49">
            <v>1875004</v>
          </cell>
          <cell r="F49">
            <v>0</v>
          </cell>
          <cell r="G49">
            <v>0.7</v>
          </cell>
        </row>
        <row r="50">
          <cell r="A50" t="str">
            <v>TEXAS</v>
          </cell>
          <cell r="B50">
            <v>291860735</v>
          </cell>
          <cell r="C50">
            <v>210241163</v>
          </cell>
          <cell r="D50">
            <v>284760</v>
          </cell>
          <cell r="E50">
            <v>7560934</v>
          </cell>
          <cell r="F50">
            <v>73773878</v>
          </cell>
          <cell r="G50">
            <v>0.44</v>
          </cell>
        </row>
        <row r="51">
          <cell r="A51" t="str">
            <v>UTAH</v>
          </cell>
          <cell r="B51">
            <v>49133210</v>
          </cell>
          <cell r="C51">
            <v>41857536</v>
          </cell>
          <cell r="D51">
            <v>5081585</v>
          </cell>
          <cell r="E51">
            <v>2194089</v>
          </cell>
          <cell r="F51">
            <v>0</v>
          </cell>
          <cell r="G51">
            <v>0.46</v>
          </cell>
        </row>
        <row r="52">
          <cell r="A52" t="str">
            <v>VERMONT</v>
          </cell>
          <cell r="B52">
            <v>25713338</v>
          </cell>
          <cell r="C52">
            <v>21475277</v>
          </cell>
          <cell r="D52">
            <v>0</v>
          </cell>
          <cell r="E52">
            <v>4238061</v>
          </cell>
          <cell r="F52">
            <v>0</v>
          </cell>
          <cell r="G52">
            <v>0.74</v>
          </cell>
        </row>
        <row r="53">
          <cell r="A53" t="str">
            <v>VIRGINIA</v>
          </cell>
          <cell r="B53">
            <v>66084470</v>
          </cell>
          <cell r="C53">
            <v>66084470</v>
          </cell>
          <cell r="D53">
            <v>0</v>
          </cell>
          <cell r="E53">
            <v>0</v>
          </cell>
          <cell r="F53">
            <v>0</v>
          </cell>
          <cell r="G53">
            <v>0.46</v>
          </cell>
        </row>
        <row r="54">
          <cell r="A54" t="str">
            <v>WASHINGTON</v>
          </cell>
          <cell r="B54">
            <v>102296180</v>
          </cell>
          <cell r="C54">
            <v>102296180</v>
          </cell>
          <cell r="D54">
            <v>0</v>
          </cell>
          <cell r="E54">
            <v>0</v>
          </cell>
          <cell r="F54">
            <v>0</v>
          </cell>
          <cell r="G54">
            <v>0.33</v>
          </cell>
        </row>
        <row r="55">
          <cell r="A55" t="str">
            <v>WEST VIRGINIA</v>
          </cell>
          <cell r="B55">
            <v>62729620</v>
          </cell>
          <cell r="C55">
            <v>43446368</v>
          </cell>
          <cell r="D55">
            <v>1936232</v>
          </cell>
          <cell r="E55">
            <v>17347020</v>
          </cell>
          <cell r="F55">
            <v>0</v>
          </cell>
          <cell r="G55">
            <v>0.51</v>
          </cell>
        </row>
        <row r="56">
          <cell r="A56" t="str">
            <v>WISCONSIN</v>
          </cell>
          <cell r="B56">
            <v>68684895</v>
          </cell>
          <cell r="C56">
            <v>68684893</v>
          </cell>
          <cell r="D56">
            <v>0</v>
          </cell>
          <cell r="E56">
            <v>2</v>
          </cell>
          <cell r="F56">
            <v>0</v>
          </cell>
          <cell r="G56">
            <v>0.21</v>
          </cell>
        </row>
        <row r="57">
          <cell r="A57" t="str">
            <v>WYOMING</v>
          </cell>
          <cell r="B57">
            <v>4866769</v>
          </cell>
          <cell r="C57">
            <v>7487128</v>
          </cell>
          <cell r="D57">
            <v>-2620359</v>
          </cell>
          <cell r="E57">
            <v>0</v>
          </cell>
          <cell r="F57">
            <v>0</v>
          </cell>
          <cell r="G57">
            <v>0.12</v>
          </cell>
        </row>
        <row r="58">
          <cell r="A58" t="str">
            <v>TOTAL</v>
          </cell>
          <cell r="B58">
            <v>7271427945</v>
          </cell>
          <cell r="C58">
            <v>5820242915</v>
          </cell>
          <cell r="D58">
            <v>336357419</v>
          </cell>
          <cell r="E58">
            <v>313222155</v>
          </cell>
          <cell r="F58">
            <v>801605456</v>
          </cell>
          <cell r="G58" t="str">
            <v>-</v>
          </cell>
        </row>
        <row r="59">
          <cell r="A59" t="str">
            <v>Percentage 1/</v>
          </cell>
          <cell r="B59">
            <v>1</v>
          </cell>
          <cell r="C59">
            <v>0.8</v>
          </cell>
          <cell r="D59">
            <v>0.05</v>
          </cell>
          <cell r="E59">
            <v>0.04</v>
          </cell>
          <cell r="F59">
            <v>0.11</v>
          </cell>
          <cell r="G59" t="str">
            <v>-</v>
          </cell>
        </row>
        <row r="60">
          <cell r="A60" t="str">
            <v>Percentage 2/</v>
          </cell>
          <cell r="B60">
            <v>0.45</v>
          </cell>
          <cell r="C60">
            <v>0.36</v>
          </cell>
          <cell r="D60">
            <v>0.02</v>
          </cell>
          <cell r="E60">
            <v>0.02</v>
          </cell>
          <cell r="F60">
            <v>0.05</v>
          </cell>
          <cell r="G60" t="str">
            <v>-</v>
          </cell>
        </row>
        <row r="61">
          <cell r="A61" t="str">
            <v>1/ The percentages shown are calculated as a proportion of total TANF expenditures on assistance.</v>
          </cell>
        </row>
        <row r="62">
          <cell r="A62" t="str">
            <v>2/ The percentages shown are calculated as a proportion of total TANF expenditures (Line 7).</v>
          </cell>
        </row>
      </sheetData>
      <sheetData sheetId="9">
        <row r="7">
          <cell r="A7" t="str">
            <v>ALABAMA</v>
          </cell>
          <cell r="B7">
            <v>82347108</v>
          </cell>
          <cell r="C7">
            <v>6615763</v>
          </cell>
          <cell r="D7">
            <v>0</v>
          </cell>
          <cell r="E7">
            <v>743404</v>
          </cell>
          <cell r="F7">
            <v>5872359</v>
          </cell>
          <cell r="G7">
            <v>35021686</v>
          </cell>
          <cell r="H7">
            <v>440963</v>
          </cell>
          <cell r="I7">
            <v>0</v>
          </cell>
          <cell r="J7">
            <v>0</v>
          </cell>
          <cell r="K7">
            <v>0</v>
          </cell>
          <cell r="L7">
            <v>0</v>
          </cell>
          <cell r="M7">
            <v>0</v>
          </cell>
        </row>
        <row r="8">
          <cell r="A8" t="str">
            <v>ALASKA</v>
          </cell>
          <cell r="B8">
            <v>21879601</v>
          </cell>
          <cell r="C8">
            <v>9835687</v>
          </cell>
          <cell r="D8">
            <v>66488</v>
          </cell>
          <cell r="E8">
            <v>9250</v>
          </cell>
          <cell r="F8">
            <v>9759949</v>
          </cell>
          <cell r="G8">
            <v>2019000</v>
          </cell>
          <cell r="H8">
            <v>193747</v>
          </cell>
          <cell r="I8">
            <v>0</v>
          </cell>
          <cell r="J8">
            <v>0</v>
          </cell>
          <cell r="K8">
            <v>0</v>
          </cell>
          <cell r="L8">
            <v>942716</v>
          </cell>
          <cell r="M8">
            <v>0</v>
          </cell>
        </row>
        <row r="9">
          <cell r="A9" t="str">
            <v>ARIZONA</v>
          </cell>
          <cell r="B9">
            <v>134334221</v>
          </cell>
          <cell r="C9">
            <v>18753623</v>
          </cell>
          <cell r="D9">
            <v>30434</v>
          </cell>
          <cell r="E9">
            <v>60928</v>
          </cell>
          <cell r="F9">
            <v>18662261</v>
          </cell>
          <cell r="G9">
            <v>32321232</v>
          </cell>
          <cell r="H9">
            <v>1921920</v>
          </cell>
          <cell r="I9">
            <v>0</v>
          </cell>
          <cell r="J9">
            <v>0</v>
          </cell>
          <cell r="K9">
            <v>0</v>
          </cell>
          <cell r="L9">
            <v>0</v>
          </cell>
          <cell r="M9">
            <v>27743747</v>
          </cell>
        </row>
        <row r="10">
          <cell r="A10" t="str">
            <v>ARKANSAS</v>
          </cell>
          <cell r="B10">
            <v>17867598</v>
          </cell>
          <cell r="C10">
            <v>6713170</v>
          </cell>
          <cell r="D10">
            <v>32241</v>
          </cell>
          <cell r="E10">
            <v>216098</v>
          </cell>
          <cell r="F10">
            <v>6464831</v>
          </cell>
          <cell r="G10">
            <v>4163</v>
          </cell>
          <cell r="H10">
            <v>3768075</v>
          </cell>
          <cell r="I10">
            <v>357934</v>
          </cell>
          <cell r="J10">
            <v>0</v>
          </cell>
          <cell r="K10">
            <v>0</v>
          </cell>
          <cell r="L10">
            <v>0</v>
          </cell>
          <cell r="M10">
            <v>0</v>
          </cell>
        </row>
        <row r="11">
          <cell r="A11" t="str">
            <v>CALIFORNIA</v>
          </cell>
          <cell r="B11">
            <v>1518839106</v>
          </cell>
          <cell r="C11">
            <v>374818651</v>
          </cell>
          <cell r="D11">
            <v>66959</v>
          </cell>
          <cell r="E11">
            <v>21716197</v>
          </cell>
          <cell r="F11">
            <v>353035495</v>
          </cell>
          <cell r="G11">
            <v>311232721</v>
          </cell>
          <cell r="H11">
            <v>26341022</v>
          </cell>
          <cell r="I11">
            <v>0</v>
          </cell>
          <cell r="J11">
            <v>0</v>
          </cell>
          <cell r="K11">
            <v>0</v>
          </cell>
          <cell r="L11">
            <v>1566934</v>
          </cell>
          <cell r="M11">
            <v>0</v>
          </cell>
        </row>
        <row r="12">
          <cell r="A12" t="str">
            <v>COLORADO</v>
          </cell>
          <cell r="B12">
            <v>68106268</v>
          </cell>
          <cell r="C12">
            <v>869149</v>
          </cell>
          <cell r="D12">
            <v>5349</v>
          </cell>
          <cell r="E12">
            <v>754151</v>
          </cell>
          <cell r="F12">
            <v>109649</v>
          </cell>
          <cell r="G12">
            <v>1002329</v>
          </cell>
          <cell r="H12">
            <v>2481721</v>
          </cell>
          <cell r="I12">
            <v>0</v>
          </cell>
          <cell r="J12">
            <v>0</v>
          </cell>
          <cell r="K12">
            <v>0</v>
          </cell>
          <cell r="L12">
            <v>5357134</v>
          </cell>
          <cell r="M12">
            <v>1686366</v>
          </cell>
        </row>
        <row r="13">
          <cell r="A13" t="str">
            <v>CONNECTICUT</v>
          </cell>
          <cell r="B13">
            <v>205799687</v>
          </cell>
          <cell r="C13">
            <v>16815051</v>
          </cell>
          <cell r="D13">
            <v>0</v>
          </cell>
          <cell r="E13">
            <v>16205859</v>
          </cell>
          <cell r="F13">
            <v>609192</v>
          </cell>
          <cell r="G13">
            <v>1</v>
          </cell>
          <cell r="H13">
            <v>4262177</v>
          </cell>
          <cell r="I13">
            <v>0</v>
          </cell>
          <cell r="J13">
            <v>0</v>
          </cell>
          <cell r="K13">
            <v>0</v>
          </cell>
          <cell r="L13">
            <v>22218</v>
          </cell>
          <cell r="M13">
            <v>16448365</v>
          </cell>
        </row>
        <row r="14">
          <cell r="A14" t="str">
            <v>DELAWARE</v>
          </cell>
          <cell r="B14">
            <v>3211681</v>
          </cell>
          <cell r="C14">
            <v>0</v>
          </cell>
          <cell r="D14">
            <v>0</v>
          </cell>
          <cell r="E14">
            <v>0</v>
          </cell>
          <cell r="F14">
            <v>0</v>
          </cell>
          <cell r="G14">
            <v>0</v>
          </cell>
          <cell r="H14">
            <v>0</v>
          </cell>
          <cell r="I14">
            <v>0</v>
          </cell>
          <cell r="J14">
            <v>0</v>
          </cell>
          <cell r="K14">
            <v>0</v>
          </cell>
          <cell r="L14">
            <v>0</v>
          </cell>
          <cell r="M14">
            <v>0</v>
          </cell>
        </row>
        <row r="15">
          <cell r="A15" t="str">
            <v>DIST.OF COLUMBIA</v>
          </cell>
          <cell r="B15">
            <v>73856534</v>
          </cell>
          <cell r="C15">
            <v>23000830</v>
          </cell>
          <cell r="D15">
            <v>0</v>
          </cell>
          <cell r="E15">
            <v>3232776</v>
          </cell>
          <cell r="F15">
            <v>19768054</v>
          </cell>
          <cell r="G15">
            <v>24491986</v>
          </cell>
          <cell r="H15">
            <v>0</v>
          </cell>
          <cell r="I15">
            <v>0</v>
          </cell>
          <cell r="J15">
            <v>0</v>
          </cell>
          <cell r="K15">
            <v>0</v>
          </cell>
          <cell r="L15">
            <v>0</v>
          </cell>
          <cell r="M15">
            <v>0</v>
          </cell>
        </row>
        <row r="16">
          <cell r="A16" t="str">
            <v>FLORIDA</v>
          </cell>
          <cell r="B16">
            <v>410791375</v>
          </cell>
          <cell r="C16">
            <v>91110340</v>
          </cell>
          <cell r="D16">
            <v>66150</v>
          </cell>
          <cell r="E16">
            <v>2066362</v>
          </cell>
          <cell r="F16">
            <v>88977828</v>
          </cell>
          <cell r="G16">
            <v>87928075</v>
          </cell>
          <cell r="H16">
            <v>4794302</v>
          </cell>
          <cell r="I16">
            <v>0</v>
          </cell>
          <cell r="J16">
            <v>0</v>
          </cell>
          <cell r="K16">
            <v>0</v>
          </cell>
          <cell r="L16">
            <v>905759</v>
          </cell>
          <cell r="M16">
            <v>0</v>
          </cell>
        </row>
        <row r="17">
          <cell r="A17" t="str">
            <v>GEORGIA</v>
          </cell>
          <cell r="B17">
            <v>218919710</v>
          </cell>
          <cell r="C17">
            <v>82313435</v>
          </cell>
          <cell r="D17">
            <v>-8888</v>
          </cell>
          <cell r="E17">
            <v>1692865</v>
          </cell>
          <cell r="F17">
            <v>80629458</v>
          </cell>
          <cell r="G17">
            <v>0</v>
          </cell>
          <cell r="H17">
            <v>0</v>
          </cell>
          <cell r="I17">
            <v>0</v>
          </cell>
          <cell r="J17">
            <v>0</v>
          </cell>
          <cell r="K17">
            <v>0</v>
          </cell>
          <cell r="L17">
            <v>2448077</v>
          </cell>
          <cell r="M17">
            <v>32960368</v>
          </cell>
        </row>
        <row r="18">
          <cell r="A18" t="str">
            <v>HAWAII</v>
          </cell>
          <cell r="B18">
            <v>16616800</v>
          </cell>
          <cell r="C18">
            <v>7128320</v>
          </cell>
          <cell r="D18">
            <v>0</v>
          </cell>
          <cell r="E18">
            <v>183412</v>
          </cell>
          <cell r="F18">
            <v>6944908</v>
          </cell>
          <cell r="G18">
            <v>0</v>
          </cell>
          <cell r="H18">
            <v>1096719</v>
          </cell>
          <cell r="I18">
            <v>0</v>
          </cell>
          <cell r="J18">
            <v>0</v>
          </cell>
          <cell r="K18">
            <v>0</v>
          </cell>
          <cell r="L18">
            <v>0</v>
          </cell>
          <cell r="M18">
            <v>0</v>
          </cell>
        </row>
        <row r="19">
          <cell r="A19" t="str">
            <v>IDAHO</v>
          </cell>
          <cell r="B19">
            <v>23479757</v>
          </cell>
          <cell r="C19">
            <v>5647839</v>
          </cell>
          <cell r="D19">
            <v>0</v>
          </cell>
          <cell r="E19">
            <v>0</v>
          </cell>
          <cell r="F19">
            <v>5647839</v>
          </cell>
          <cell r="G19">
            <v>1462112</v>
          </cell>
          <cell r="H19">
            <v>0</v>
          </cell>
          <cell r="I19">
            <v>0</v>
          </cell>
          <cell r="J19">
            <v>0</v>
          </cell>
          <cell r="K19">
            <v>0</v>
          </cell>
          <cell r="L19">
            <v>1663279</v>
          </cell>
          <cell r="M19">
            <v>0</v>
          </cell>
        </row>
        <row r="20">
          <cell r="A20" t="str">
            <v>ILLINOIS</v>
          </cell>
          <cell r="B20">
            <v>502429793</v>
          </cell>
          <cell r="C20">
            <v>76231099</v>
          </cell>
          <cell r="D20">
            <v>0</v>
          </cell>
          <cell r="E20">
            <v>57750657</v>
          </cell>
          <cell r="F20">
            <v>18480442</v>
          </cell>
          <cell r="G20">
            <v>152662453</v>
          </cell>
          <cell r="H20">
            <v>1060889</v>
          </cell>
          <cell r="I20">
            <v>0</v>
          </cell>
          <cell r="J20">
            <v>0</v>
          </cell>
          <cell r="K20">
            <v>0</v>
          </cell>
          <cell r="L20">
            <v>0</v>
          </cell>
          <cell r="M20">
            <v>153753033</v>
          </cell>
        </row>
        <row r="21">
          <cell r="A21" t="str">
            <v>INDIANA</v>
          </cell>
          <cell r="B21">
            <v>91652267</v>
          </cell>
          <cell r="C21">
            <v>12067830</v>
          </cell>
          <cell r="D21">
            <v>0</v>
          </cell>
          <cell r="E21">
            <v>1591148</v>
          </cell>
          <cell r="F21">
            <v>10476682</v>
          </cell>
          <cell r="G21">
            <v>2127</v>
          </cell>
          <cell r="H21">
            <v>2546177</v>
          </cell>
          <cell r="I21">
            <v>0</v>
          </cell>
          <cell r="J21">
            <v>0</v>
          </cell>
          <cell r="K21">
            <v>0</v>
          </cell>
          <cell r="L21">
            <v>0</v>
          </cell>
          <cell r="M21">
            <v>0</v>
          </cell>
        </row>
        <row r="22">
          <cell r="A22" t="str">
            <v>IOWA</v>
          </cell>
          <cell r="B22">
            <v>55629960</v>
          </cell>
          <cell r="C22">
            <v>12277723</v>
          </cell>
          <cell r="D22">
            <v>-19920397</v>
          </cell>
          <cell r="E22">
            <v>0</v>
          </cell>
          <cell r="F22">
            <v>32198120</v>
          </cell>
          <cell r="G22">
            <v>5113184</v>
          </cell>
          <cell r="H22">
            <v>831221</v>
          </cell>
          <cell r="I22">
            <v>0</v>
          </cell>
          <cell r="J22">
            <v>0</v>
          </cell>
          <cell r="K22">
            <v>0</v>
          </cell>
          <cell r="L22">
            <v>395132</v>
          </cell>
          <cell r="M22">
            <v>0</v>
          </cell>
        </row>
        <row r="23">
          <cell r="A23" t="str">
            <v>KANSAS</v>
          </cell>
          <cell r="B23">
            <v>30852937</v>
          </cell>
          <cell r="C23">
            <v>9240069</v>
          </cell>
          <cell r="D23">
            <v>0</v>
          </cell>
          <cell r="E23">
            <v>115973</v>
          </cell>
          <cell r="F23">
            <v>9124096</v>
          </cell>
          <cell r="G23">
            <v>0</v>
          </cell>
          <cell r="H23">
            <v>0</v>
          </cell>
          <cell r="I23">
            <v>0</v>
          </cell>
          <cell r="J23">
            <v>0</v>
          </cell>
          <cell r="K23">
            <v>0</v>
          </cell>
          <cell r="L23">
            <v>0</v>
          </cell>
          <cell r="M23">
            <v>0</v>
          </cell>
        </row>
        <row r="24">
          <cell r="A24" t="str">
            <v>KENTUCKY</v>
          </cell>
          <cell r="B24">
            <v>65917218</v>
          </cell>
          <cell r="C24">
            <v>28225933</v>
          </cell>
          <cell r="D24">
            <v>1101849</v>
          </cell>
          <cell r="E24">
            <v>3444531</v>
          </cell>
          <cell r="F24">
            <v>23679553</v>
          </cell>
          <cell r="G24">
            <v>6835102</v>
          </cell>
          <cell r="H24">
            <v>1348537</v>
          </cell>
          <cell r="I24">
            <v>0</v>
          </cell>
          <cell r="J24">
            <v>0</v>
          </cell>
          <cell r="K24">
            <v>0</v>
          </cell>
          <cell r="L24">
            <v>0</v>
          </cell>
          <cell r="M24">
            <v>0</v>
          </cell>
        </row>
        <row r="25">
          <cell r="A25" t="str">
            <v>LOUISIANA</v>
          </cell>
          <cell r="B25">
            <v>167455074</v>
          </cell>
          <cell r="C25">
            <v>36664070</v>
          </cell>
          <cell r="D25">
            <v>0</v>
          </cell>
          <cell r="E25">
            <v>26689928</v>
          </cell>
          <cell r="F25">
            <v>9974142</v>
          </cell>
          <cell r="G25">
            <v>2920266</v>
          </cell>
          <cell r="H25">
            <v>7909765</v>
          </cell>
          <cell r="I25">
            <v>708234</v>
          </cell>
          <cell r="J25">
            <v>0</v>
          </cell>
          <cell r="K25">
            <v>0</v>
          </cell>
          <cell r="L25">
            <v>7981765</v>
          </cell>
          <cell r="M25">
            <v>0</v>
          </cell>
        </row>
        <row r="26">
          <cell r="A26" t="str">
            <v>MAINE</v>
          </cell>
          <cell r="B26">
            <v>10493435</v>
          </cell>
          <cell r="C26">
            <v>64493</v>
          </cell>
          <cell r="D26">
            <v>-993709</v>
          </cell>
          <cell r="E26">
            <v>0</v>
          </cell>
          <cell r="F26">
            <v>1058202</v>
          </cell>
          <cell r="G26">
            <v>0</v>
          </cell>
          <cell r="H26">
            <v>3437533</v>
          </cell>
          <cell r="I26">
            <v>0</v>
          </cell>
          <cell r="J26">
            <v>0</v>
          </cell>
          <cell r="K26">
            <v>0</v>
          </cell>
          <cell r="L26">
            <v>886890</v>
          </cell>
          <cell r="M26">
            <v>0</v>
          </cell>
        </row>
        <row r="27">
          <cell r="A27" t="str">
            <v>MARYLAND</v>
          </cell>
          <cell r="B27">
            <v>114124211</v>
          </cell>
          <cell r="C27">
            <v>44148144</v>
          </cell>
          <cell r="D27">
            <v>1344382</v>
          </cell>
          <cell r="E27">
            <v>10473830</v>
          </cell>
          <cell r="F27">
            <v>32329932</v>
          </cell>
          <cell r="G27">
            <v>1651300</v>
          </cell>
          <cell r="H27">
            <v>7707649</v>
          </cell>
          <cell r="I27">
            <v>224400</v>
          </cell>
          <cell r="J27">
            <v>0</v>
          </cell>
          <cell r="K27">
            <v>0</v>
          </cell>
          <cell r="L27">
            <v>583592</v>
          </cell>
          <cell r="M27">
            <v>0</v>
          </cell>
        </row>
        <row r="28">
          <cell r="A28" t="str">
            <v>MASSACHUSETTS</v>
          </cell>
          <cell r="B28">
            <v>183748474</v>
          </cell>
          <cell r="C28">
            <v>11131305</v>
          </cell>
          <cell r="D28">
            <v>2140846</v>
          </cell>
          <cell r="E28">
            <v>5833379</v>
          </cell>
          <cell r="F28">
            <v>3157080</v>
          </cell>
          <cell r="G28">
            <v>115767199</v>
          </cell>
          <cell r="H28">
            <v>1525107</v>
          </cell>
          <cell r="I28">
            <v>0</v>
          </cell>
          <cell r="J28">
            <v>0</v>
          </cell>
          <cell r="K28">
            <v>0</v>
          </cell>
          <cell r="L28">
            <v>6988112</v>
          </cell>
          <cell r="M28">
            <v>0</v>
          </cell>
        </row>
        <row r="29">
          <cell r="A29" t="str">
            <v>MICHIGAN</v>
          </cell>
          <cell r="B29">
            <v>503293223</v>
          </cell>
          <cell r="C29">
            <v>46497103</v>
          </cell>
          <cell r="D29">
            <v>0</v>
          </cell>
          <cell r="E29">
            <v>0</v>
          </cell>
          <cell r="F29">
            <v>46497103</v>
          </cell>
          <cell r="G29">
            <v>109555211</v>
          </cell>
          <cell r="H29">
            <v>1304464</v>
          </cell>
          <cell r="I29">
            <v>445194</v>
          </cell>
          <cell r="J29">
            <v>0</v>
          </cell>
          <cell r="K29">
            <v>0</v>
          </cell>
          <cell r="L29">
            <v>15740620</v>
          </cell>
          <cell r="M29">
            <v>57690882</v>
          </cell>
        </row>
        <row r="30">
          <cell r="A30" t="str">
            <v>MINNESOTA</v>
          </cell>
          <cell r="B30">
            <v>182605046</v>
          </cell>
          <cell r="C30">
            <v>76623633</v>
          </cell>
          <cell r="D30">
            <v>0</v>
          </cell>
          <cell r="E30">
            <v>2731084</v>
          </cell>
          <cell r="F30">
            <v>73892549</v>
          </cell>
          <cell r="G30">
            <v>3620</v>
          </cell>
          <cell r="H30">
            <v>3567556</v>
          </cell>
          <cell r="I30">
            <v>0</v>
          </cell>
          <cell r="J30">
            <v>30347755</v>
          </cell>
          <cell r="K30">
            <v>0</v>
          </cell>
          <cell r="L30">
            <v>26883465</v>
          </cell>
          <cell r="M30">
            <v>0</v>
          </cell>
        </row>
        <row r="31">
          <cell r="A31" t="str">
            <v>MISSISSIPPI</v>
          </cell>
          <cell r="B31">
            <v>37235055</v>
          </cell>
          <cell r="C31">
            <v>16227237</v>
          </cell>
          <cell r="D31">
            <v>0</v>
          </cell>
          <cell r="E31">
            <v>-133719</v>
          </cell>
          <cell r="F31">
            <v>16360956</v>
          </cell>
          <cell r="G31">
            <v>-3532626</v>
          </cell>
          <cell r="H31">
            <v>1166504</v>
          </cell>
          <cell r="I31">
            <v>0</v>
          </cell>
          <cell r="J31">
            <v>0</v>
          </cell>
          <cell r="K31">
            <v>0</v>
          </cell>
          <cell r="L31">
            <v>0</v>
          </cell>
          <cell r="M31">
            <v>0</v>
          </cell>
        </row>
        <row r="32">
          <cell r="A32" t="str">
            <v>MISSOURI</v>
          </cell>
          <cell r="B32">
            <v>102244162</v>
          </cell>
          <cell r="C32">
            <v>23213594</v>
          </cell>
          <cell r="D32">
            <v>26909</v>
          </cell>
          <cell r="E32">
            <v>1153149</v>
          </cell>
          <cell r="F32">
            <v>22033536</v>
          </cell>
          <cell r="G32">
            <v>0</v>
          </cell>
          <cell r="H32">
            <v>0</v>
          </cell>
          <cell r="I32">
            <v>0</v>
          </cell>
          <cell r="J32">
            <v>0</v>
          </cell>
          <cell r="K32">
            <v>0</v>
          </cell>
          <cell r="L32">
            <v>0</v>
          </cell>
          <cell r="M32">
            <v>67879909</v>
          </cell>
        </row>
        <row r="33">
          <cell r="A33" t="str">
            <v>MONTANA</v>
          </cell>
          <cell r="B33">
            <v>7755375</v>
          </cell>
          <cell r="C33">
            <v>504811</v>
          </cell>
          <cell r="D33">
            <v>0</v>
          </cell>
          <cell r="E33">
            <v>552363</v>
          </cell>
          <cell r="F33">
            <v>-47552</v>
          </cell>
          <cell r="G33">
            <v>162422</v>
          </cell>
          <cell r="H33">
            <v>0</v>
          </cell>
          <cell r="I33">
            <v>15847</v>
          </cell>
          <cell r="J33">
            <v>0</v>
          </cell>
          <cell r="K33">
            <v>0</v>
          </cell>
          <cell r="L33">
            <v>568999</v>
          </cell>
          <cell r="M33">
            <v>1731512</v>
          </cell>
        </row>
        <row r="34">
          <cell r="A34" t="str">
            <v>NEBRASKA</v>
          </cell>
          <cell r="B34">
            <v>13581968</v>
          </cell>
          <cell r="C34">
            <v>9098005</v>
          </cell>
          <cell r="D34">
            <v>18478553</v>
          </cell>
          <cell r="E34">
            <v>0</v>
          </cell>
          <cell r="F34">
            <v>-9380548</v>
          </cell>
          <cell r="G34">
            <v>0</v>
          </cell>
          <cell r="H34">
            <v>0</v>
          </cell>
          <cell r="I34">
            <v>0</v>
          </cell>
          <cell r="J34">
            <v>0</v>
          </cell>
          <cell r="K34">
            <v>0</v>
          </cell>
          <cell r="L34">
            <v>0</v>
          </cell>
          <cell r="M34">
            <v>0</v>
          </cell>
        </row>
        <row r="35">
          <cell r="A35" t="str">
            <v>NEVADA</v>
          </cell>
          <cell r="B35">
            <v>24863464</v>
          </cell>
          <cell r="C35">
            <v>2395208</v>
          </cell>
          <cell r="D35">
            <v>0</v>
          </cell>
          <cell r="E35">
            <v>0</v>
          </cell>
          <cell r="F35">
            <v>2395208</v>
          </cell>
          <cell r="G35">
            <v>667320</v>
          </cell>
          <cell r="H35">
            <v>387917</v>
          </cell>
          <cell r="I35">
            <v>0</v>
          </cell>
          <cell r="J35">
            <v>0</v>
          </cell>
          <cell r="K35">
            <v>0</v>
          </cell>
          <cell r="L35">
            <v>51320</v>
          </cell>
          <cell r="M35">
            <v>1609938</v>
          </cell>
        </row>
        <row r="36">
          <cell r="A36" t="str">
            <v>NEW HAMPSHIRE</v>
          </cell>
          <cell r="B36">
            <v>19814842</v>
          </cell>
          <cell r="C36">
            <v>4277418</v>
          </cell>
          <cell r="D36">
            <v>0</v>
          </cell>
          <cell r="E36">
            <v>695925</v>
          </cell>
          <cell r="F36">
            <v>3581493</v>
          </cell>
          <cell r="G36">
            <v>0</v>
          </cell>
          <cell r="H36">
            <v>736772</v>
          </cell>
          <cell r="I36">
            <v>51815</v>
          </cell>
          <cell r="J36">
            <v>0</v>
          </cell>
          <cell r="K36">
            <v>0</v>
          </cell>
          <cell r="L36">
            <v>0</v>
          </cell>
          <cell r="M36">
            <v>1728902</v>
          </cell>
        </row>
        <row r="37">
          <cell r="A37" t="str">
            <v>NEW JERSEY</v>
          </cell>
          <cell r="B37">
            <v>257416165</v>
          </cell>
          <cell r="C37">
            <v>83289993</v>
          </cell>
          <cell r="D37">
            <v>0</v>
          </cell>
          <cell r="E37">
            <v>2644827</v>
          </cell>
          <cell r="F37">
            <v>80645166</v>
          </cell>
          <cell r="G37">
            <v>0</v>
          </cell>
          <cell r="H37">
            <v>2942820</v>
          </cell>
          <cell r="I37">
            <v>0</v>
          </cell>
          <cell r="J37">
            <v>70000000</v>
          </cell>
          <cell r="K37">
            <v>0</v>
          </cell>
          <cell r="L37">
            <v>2251994</v>
          </cell>
          <cell r="M37">
            <v>12849614</v>
          </cell>
        </row>
        <row r="38">
          <cell r="A38" t="str">
            <v>NEW MEXICO</v>
          </cell>
          <cell r="B38">
            <v>27189092</v>
          </cell>
          <cell r="C38">
            <v>13747356</v>
          </cell>
          <cell r="D38">
            <v>767445</v>
          </cell>
          <cell r="E38">
            <v>0</v>
          </cell>
          <cell r="F38">
            <v>12979911</v>
          </cell>
          <cell r="G38">
            <v>0</v>
          </cell>
          <cell r="H38">
            <v>1341293</v>
          </cell>
          <cell r="I38">
            <v>0</v>
          </cell>
          <cell r="J38">
            <v>0</v>
          </cell>
          <cell r="K38">
            <v>0</v>
          </cell>
          <cell r="L38">
            <v>0</v>
          </cell>
          <cell r="M38">
            <v>0</v>
          </cell>
        </row>
        <row r="39">
          <cell r="A39" t="str">
            <v>NEW YORK</v>
          </cell>
          <cell r="B39">
            <v>1291730586</v>
          </cell>
          <cell r="C39">
            <v>226244454</v>
          </cell>
          <cell r="D39">
            <v>14952135</v>
          </cell>
          <cell r="E39">
            <v>14966922</v>
          </cell>
          <cell r="F39">
            <v>196325397</v>
          </cell>
          <cell r="G39">
            <v>0</v>
          </cell>
          <cell r="H39">
            <v>9084475</v>
          </cell>
          <cell r="I39">
            <v>0</v>
          </cell>
          <cell r="J39">
            <v>0</v>
          </cell>
          <cell r="K39">
            <v>0</v>
          </cell>
          <cell r="L39">
            <v>23574780</v>
          </cell>
          <cell r="M39">
            <v>91982062</v>
          </cell>
        </row>
        <row r="40">
          <cell r="A40" t="str">
            <v>NORTH CAROLINA</v>
          </cell>
          <cell r="B40">
            <v>138977047</v>
          </cell>
          <cell r="C40">
            <v>8065025</v>
          </cell>
          <cell r="D40">
            <v>1145</v>
          </cell>
          <cell r="E40">
            <v>9638</v>
          </cell>
          <cell r="F40">
            <v>8054242</v>
          </cell>
          <cell r="G40">
            <v>27137424</v>
          </cell>
          <cell r="H40">
            <v>1448473</v>
          </cell>
          <cell r="I40">
            <v>0</v>
          </cell>
          <cell r="J40">
            <v>0</v>
          </cell>
          <cell r="K40">
            <v>0</v>
          </cell>
          <cell r="L40">
            <v>3049928</v>
          </cell>
          <cell r="M40">
            <v>73459087</v>
          </cell>
        </row>
        <row r="41">
          <cell r="A41" t="str">
            <v>NORTH DAKOTA</v>
          </cell>
          <cell r="B41">
            <v>13120055</v>
          </cell>
          <cell r="C41">
            <v>2201388</v>
          </cell>
          <cell r="D41">
            <v>0</v>
          </cell>
          <cell r="E41">
            <v>75676</v>
          </cell>
          <cell r="F41">
            <v>2125712</v>
          </cell>
          <cell r="G41">
            <v>1765060</v>
          </cell>
          <cell r="H41">
            <v>876368</v>
          </cell>
          <cell r="I41">
            <v>0</v>
          </cell>
          <cell r="J41">
            <v>0</v>
          </cell>
          <cell r="K41">
            <v>0</v>
          </cell>
          <cell r="L41">
            <v>0</v>
          </cell>
          <cell r="M41">
            <v>2279178</v>
          </cell>
        </row>
        <row r="42">
          <cell r="A42" t="str">
            <v>OHIO</v>
          </cell>
          <cell r="B42">
            <v>474514313</v>
          </cell>
          <cell r="C42">
            <v>47803566</v>
          </cell>
          <cell r="D42">
            <v>32057488</v>
          </cell>
          <cell r="E42">
            <v>1498895</v>
          </cell>
          <cell r="F42">
            <v>14247183</v>
          </cell>
          <cell r="G42">
            <v>234785938</v>
          </cell>
          <cell r="H42">
            <v>3413791</v>
          </cell>
          <cell r="I42">
            <v>978</v>
          </cell>
          <cell r="J42">
            <v>0</v>
          </cell>
          <cell r="K42">
            <v>0</v>
          </cell>
          <cell r="L42">
            <v>8627668</v>
          </cell>
          <cell r="M42">
            <v>0</v>
          </cell>
        </row>
        <row r="43">
          <cell r="A43" t="str">
            <v>OKLAHOMA</v>
          </cell>
          <cell r="B43">
            <v>20384951</v>
          </cell>
          <cell r="C43">
            <v>0</v>
          </cell>
          <cell r="D43">
            <v>0</v>
          </cell>
          <cell r="E43">
            <v>0</v>
          </cell>
          <cell r="F43">
            <v>0</v>
          </cell>
          <cell r="G43">
            <v>0</v>
          </cell>
          <cell r="H43">
            <v>0</v>
          </cell>
          <cell r="I43">
            <v>2715</v>
          </cell>
          <cell r="J43">
            <v>0</v>
          </cell>
          <cell r="K43">
            <v>0</v>
          </cell>
          <cell r="L43">
            <v>1261941</v>
          </cell>
          <cell r="M43">
            <v>0</v>
          </cell>
        </row>
        <row r="44">
          <cell r="A44" t="str">
            <v>OREGON</v>
          </cell>
          <cell r="B44">
            <v>71368148</v>
          </cell>
          <cell r="C44">
            <v>16162698</v>
          </cell>
          <cell r="D44">
            <v>-2738346</v>
          </cell>
          <cell r="E44">
            <v>2155256</v>
          </cell>
          <cell r="F44">
            <v>16745788</v>
          </cell>
          <cell r="G44">
            <v>2205342</v>
          </cell>
          <cell r="H44">
            <v>861756</v>
          </cell>
          <cell r="I44">
            <v>0</v>
          </cell>
          <cell r="J44">
            <v>0</v>
          </cell>
          <cell r="K44">
            <v>0</v>
          </cell>
          <cell r="L44">
            <v>0</v>
          </cell>
          <cell r="M44">
            <v>0</v>
          </cell>
        </row>
        <row r="45">
          <cell r="A45" t="str">
            <v>PENNSYLVANIA</v>
          </cell>
          <cell r="B45">
            <v>543694734</v>
          </cell>
          <cell r="C45">
            <v>126590024</v>
          </cell>
          <cell r="D45">
            <v>3605009</v>
          </cell>
          <cell r="E45">
            <v>6143621</v>
          </cell>
          <cell r="F45">
            <v>116841394</v>
          </cell>
          <cell r="G45">
            <v>11522200</v>
          </cell>
          <cell r="H45">
            <v>11186820</v>
          </cell>
          <cell r="I45">
            <v>0</v>
          </cell>
          <cell r="J45">
            <v>0</v>
          </cell>
          <cell r="K45">
            <v>0</v>
          </cell>
          <cell r="L45">
            <v>14129987</v>
          </cell>
          <cell r="M45">
            <v>257036729</v>
          </cell>
        </row>
        <row r="46">
          <cell r="A46" t="str">
            <v>RHODE ISLAND</v>
          </cell>
          <cell r="B46">
            <v>25861081</v>
          </cell>
          <cell r="C46">
            <v>4397498</v>
          </cell>
          <cell r="D46">
            <v>75628</v>
          </cell>
          <cell r="E46">
            <v>0</v>
          </cell>
          <cell r="F46">
            <v>4321870</v>
          </cell>
          <cell r="G46">
            <v>0</v>
          </cell>
          <cell r="H46">
            <v>0</v>
          </cell>
          <cell r="I46">
            <v>0</v>
          </cell>
          <cell r="J46">
            <v>0</v>
          </cell>
          <cell r="K46">
            <v>0</v>
          </cell>
          <cell r="L46">
            <v>0</v>
          </cell>
          <cell r="M46">
            <v>0</v>
          </cell>
        </row>
        <row r="47">
          <cell r="A47" t="str">
            <v>SOUTH CAROLINA</v>
          </cell>
          <cell r="B47">
            <v>75778038</v>
          </cell>
          <cell r="C47">
            <v>39872548</v>
          </cell>
          <cell r="D47">
            <v>0</v>
          </cell>
          <cell r="E47">
            <v>18883019</v>
          </cell>
          <cell r="F47">
            <v>20989529</v>
          </cell>
          <cell r="G47">
            <v>0</v>
          </cell>
          <cell r="H47">
            <v>932082</v>
          </cell>
          <cell r="I47">
            <v>0</v>
          </cell>
          <cell r="J47">
            <v>0</v>
          </cell>
          <cell r="K47">
            <v>0</v>
          </cell>
          <cell r="L47">
            <v>0</v>
          </cell>
          <cell r="M47">
            <v>0</v>
          </cell>
        </row>
        <row r="48">
          <cell r="A48" t="str">
            <v>SOUTH DAKOTA</v>
          </cell>
          <cell r="B48">
            <v>5162432</v>
          </cell>
          <cell r="C48">
            <v>1979771</v>
          </cell>
          <cell r="D48">
            <v>0</v>
          </cell>
          <cell r="E48">
            <v>0</v>
          </cell>
          <cell r="F48">
            <v>1979771</v>
          </cell>
          <cell r="G48">
            <v>0</v>
          </cell>
          <cell r="H48">
            <v>53391</v>
          </cell>
          <cell r="I48">
            <v>0</v>
          </cell>
          <cell r="J48">
            <v>0</v>
          </cell>
          <cell r="K48">
            <v>0</v>
          </cell>
          <cell r="L48">
            <v>0</v>
          </cell>
          <cell r="M48">
            <v>0</v>
          </cell>
        </row>
        <row r="49">
          <cell r="A49" t="str">
            <v>TENNESSEE</v>
          </cell>
          <cell r="B49">
            <v>56038126</v>
          </cell>
          <cell r="C49">
            <v>16589529</v>
          </cell>
          <cell r="D49">
            <v>0</v>
          </cell>
          <cell r="E49">
            <v>3636203</v>
          </cell>
          <cell r="F49">
            <v>12953326</v>
          </cell>
          <cell r="G49">
            <v>8794598</v>
          </cell>
          <cell r="H49">
            <v>2033049</v>
          </cell>
          <cell r="I49">
            <v>0</v>
          </cell>
          <cell r="J49">
            <v>0</v>
          </cell>
          <cell r="K49">
            <v>0</v>
          </cell>
          <cell r="L49">
            <v>0</v>
          </cell>
          <cell r="M49">
            <v>0</v>
          </cell>
        </row>
        <row r="50">
          <cell r="A50" t="str">
            <v>TEXAS</v>
          </cell>
          <cell r="B50">
            <v>372181182</v>
          </cell>
          <cell r="C50">
            <v>95632542</v>
          </cell>
          <cell r="D50">
            <v>-696007</v>
          </cell>
          <cell r="E50">
            <v>13713993</v>
          </cell>
          <cell r="F50">
            <v>82614556</v>
          </cell>
          <cell r="G50">
            <v>9063008</v>
          </cell>
          <cell r="H50">
            <v>-6576736</v>
          </cell>
          <cell r="I50">
            <v>9098955</v>
          </cell>
          <cell r="J50">
            <v>0</v>
          </cell>
          <cell r="K50">
            <v>0</v>
          </cell>
          <cell r="L50">
            <v>15514817</v>
          </cell>
          <cell r="M50">
            <v>25615913</v>
          </cell>
        </row>
        <row r="51">
          <cell r="A51" t="str">
            <v>UTAH</v>
          </cell>
          <cell r="B51">
            <v>56817858</v>
          </cell>
          <cell r="C51">
            <v>19040694</v>
          </cell>
          <cell r="D51">
            <v>470053</v>
          </cell>
          <cell r="E51">
            <v>2640338</v>
          </cell>
          <cell r="F51">
            <v>15930303</v>
          </cell>
          <cell r="G51">
            <v>1676</v>
          </cell>
          <cell r="H51">
            <v>693903</v>
          </cell>
          <cell r="I51">
            <v>0</v>
          </cell>
          <cell r="J51">
            <v>0</v>
          </cell>
          <cell r="K51">
            <v>0</v>
          </cell>
          <cell r="L51">
            <v>351570</v>
          </cell>
          <cell r="M51">
            <v>0</v>
          </cell>
        </row>
        <row r="52">
          <cell r="A52" t="str">
            <v>VERMONT</v>
          </cell>
          <cell r="B52">
            <v>8950732</v>
          </cell>
          <cell r="C52">
            <v>361115</v>
          </cell>
          <cell r="D52">
            <v>0</v>
          </cell>
          <cell r="E52">
            <v>0</v>
          </cell>
          <cell r="F52">
            <v>361115</v>
          </cell>
          <cell r="G52">
            <v>3123269</v>
          </cell>
          <cell r="H52">
            <v>0</v>
          </cell>
          <cell r="I52">
            <v>0</v>
          </cell>
          <cell r="J52">
            <v>0</v>
          </cell>
          <cell r="K52">
            <v>0</v>
          </cell>
          <cell r="L52">
            <v>840777</v>
          </cell>
          <cell r="M52">
            <v>0</v>
          </cell>
        </row>
        <row r="53">
          <cell r="A53" t="str">
            <v>VIRGINIA</v>
          </cell>
          <cell r="B53">
            <v>79109036</v>
          </cell>
          <cell r="C53">
            <v>41326586</v>
          </cell>
          <cell r="D53">
            <v>0</v>
          </cell>
          <cell r="E53">
            <v>4139531</v>
          </cell>
          <cell r="F53">
            <v>37187055</v>
          </cell>
          <cell r="G53">
            <v>16008</v>
          </cell>
          <cell r="H53">
            <v>6071484</v>
          </cell>
          <cell r="I53">
            <v>47318</v>
          </cell>
          <cell r="J53">
            <v>0</v>
          </cell>
          <cell r="K53">
            <v>0</v>
          </cell>
          <cell r="L53">
            <v>4737613</v>
          </cell>
          <cell r="M53">
            <v>0</v>
          </cell>
        </row>
        <row r="54">
          <cell r="A54" t="str">
            <v>WASHINGTON</v>
          </cell>
          <cell r="B54">
            <v>205171177</v>
          </cell>
          <cell r="C54">
            <v>88930899</v>
          </cell>
          <cell r="D54">
            <v>16861694</v>
          </cell>
          <cell r="E54">
            <v>27422435</v>
          </cell>
          <cell r="F54">
            <v>44646770</v>
          </cell>
          <cell r="G54">
            <v>63478641</v>
          </cell>
          <cell r="H54">
            <v>3906114</v>
          </cell>
          <cell r="I54">
            <v>660211</v>
          </cell>
          <cell r="J54">
            <v>0</v>
          </cell>
          <cell r="K54">
            <v>0</v>
          </cell>
          <cell r="L54">
            <v>0</v>
          </cell>
          <cell r="M54">
            <v>18462470</v>
          </cell>
        </row>
        <row r="55">
          <cell r="A55" t="str">
            <v>WEST VIRGINIA</v>
          </cell>
          <cell r="B55">
            <v>59684986</v>
          </cell>
          <cell r="C55">
            <v>5081809</v>
          </cell>
          <cell r="D55">
            <v>0</v>
          </cell>
          <cell r="E55">
            <v>816966</v>
          </cell>
          <cell r="F55">
            <v>4264843</v>
          </cell>
          <cell r="G55">
            <v>18796770</v>
          </cell>
          <cell r="H55">
            <v>0</v>
          </cell>
          <cell r="I55">
            <v>0</v>
          </cell>
          <cell r="J55">
            <v>0</v>
          </cell>
          <cell r="K55">
            <v>0</v>
          </cell>
          <cell r="L55">
            <v>2427907</v>
          </cell>
          <cell r="M55">
            <v>0</v>
          </cell>
        </row>
        <row r="56">
          <cell r="A56" t="str">
            <v>WISCONSIN</v>
          </cell>
          <cell r="B56">
            <v>252251729</v>
          </cell>
          <cell r="C56">
            <v>41438307</v>
          </cell>
          <cell r="D56">
            <v>41888</v>
          </cell>
          <cell r="E56">
            <v>8549441</v>
          </cell>
          <cell r="F56">
            <v>32846978</v>
          </cell>
          <cell r="G56">
            <v>93932978</v>
          </cell>
          <cell r="H56">
            <v>4051513</v>
          </cell>
          <cell r="I56">
            <v>6488</v>
          </cell>
          <cell r="J56">
            <v>55160000</v>
          </cell>
          <cell r="K56">
            <v>0</v>
          </cell>
          <cell r="L56">
            <v>4936700</v>
          </cell>
          <cell r="M56">
            <v>0</v>
          </cell>
        </row>
        <row r="57">
          <cell r="A57" t="str">
            <v>WYOMING</v>
          </cell>
          <cell r="B57">
            <v>37068096</v>
          </cell>
          <cell r="C57">
            <v>5953418</v>
          </cell>
          <cell r="D57">
            <v>0</v>
          </cell>
          <cell r="E57">
            <v>2401521</v>
          </cell>
          <cell r="F57">
            <v>3551897</v>
          </cell>
          <cell r="G57">
            <v>0</v>
          </cell>
          <cell r="H57">
            <v>3076</v>
          </cell>
          <cell r="I57">
            <v>0</v>
          </cell>
          <cell r="J57">
            <v>0</v>
          </cell>
          <cell r="K57">
            <v>0</v>
          </cell>
          <cell r="L57">
            <v>0</v>
          </cell>
          <cell r="M57">
            <v>0</v>
          </cell>
        </row>
        <row r="58">
          <cell r="A58" t="str">
            <v>Total</v>
          </cell>
          <cell r="B58">
            <v>8982215514</v>
          </cell>
          <cell r="C58">
            <v>1937218753</v>
          </cell>
          <cell r="D58">
            <v>67835298</v>
          </cell>
          <cell r="E58">
            <v>267477832</v>
          </cell>
          <cell r="F58">
            <v>1601905623</v>
          </cell>
          <cell r="G58">
            <v>1361913795</v>
          </cell>
          <cell r="H58">
            <v>121154409</v>
          </cell>
          <cell r="I58">
            <v>11620089</v>
          </cell>
          <cell r="J58">
            <v>155507755</v>
          </cell>
          <cell r="K58">
            <v>0</v>
          </cell>
          <cell r="L58">
            <v>154691694</v>
          </cell>
          <cell r="M58">
            <v>844918075</v>
          </cell>
        </row>
        <row r="59">
          <cell r="A59" t="str">
            <v>Percentage 1/</v>
          </cell>
          <cell r="B59">
            <v>1</v>
          </cell>
          <cell r="C59">
            <v>0.22</v>
          </cell>
          <cell r="D59">
            <v>0.01</v>
          </cell>
          <cell r="E59">
            <v>0.03</v>
          </cell>
          <cell r="F59">
            <v>0.16</v>
          </cell>
          <cell r="G59">
            <v>0.15</v>
          </cell>
          <cell r="H59">
            <v>0.01</v>
          </cell>
          <cell r="I59">
            <v>0</v>
          </cell>
          <cell r="J59">
            <v>0.02</v>
          </cell>
          <cell r="K59">
            <v>0</v>
          </cell>
          <cell r="L59">
            <v>0.02</v>
          </cell>
          <cell r="M59">
            <v>0.09</v>
          </cell>
        </row>
        <row r="60">
          <cell r="A60" t="str">
            <v>Percentage 2/</v>
          </cell>
          <cell r="B60">
            <v>0.55000000000000004</v>
          </cell>
          <cell r="C60">
            <v>0.12</v>
          </cell>
          <cell r="G60">
            <v>0.08</v>
          </cell>
          <cell r="H60">
            <v>0.01</v>
          </cell>
          <cell r="I60">
            <v>0</v>
          </cell>
          <cell r="J60">
            <v>0.01</v>
          </cell>
          <cell r="K60">
            <v>0</v>
          </cell>
          <cell r="L60">
            <v>0.01</v>
          </cell>
          <cell r="M60">
            <v>0.05</v>
          </cell>
        </row>
        <row r="61">
          <cell r="A61" t="str">
            <v>1/ The percentages shown are calculated as a proportion of total expenditures on non-assistance (Line 6).</v>
          </cell>
        </row>
        <row r="62">
          <cell r="A62" t="str">
            <v xml:space="preserve">2/ The percentages shown are calculated as a proportion of total TANF expenditures (Line 7). </v>
          </cell>
        </row>
      </sheetData>
      <sheetData sheetId="10"/>
      <sheetData sheetId="11" refreshError="1"/>
    </sheetDataSet>
  </externalBook>
</externalLink>
</file>

<file path=xl/theme/theme1.xml><?xml version="1.0" encoding="utf-8"?>
<a:theme xmlns:a="http://schemas.openxmlformats.org/drawingml/2006/main" name="Office Theme">
  <a:themeElements>
    <a:clrScheme name="ACF Color Palette 2">
      <a:dk1>
        <a:srgbClr val="000000"/>
      </a:dk1>
      <a:lt1>
        <a:srgbClr val="FFFFFF"/>
      </a:lt1>
      <a:dk2>
        <a:srgbClr val="264A64"/>
      </a:dk2>
      <a:lt2>
        <a:srgbClr val="CDD7D9"/>
      </a:lt2>
      <a:accent1>
        <a:srgbClr val="336A90"/>
      </a:accent1>
      <a:accent2>
        <a:srgbClr val="BCD9ED"/>
      </a:accent2>
      <a:accent3>
        <a:srgbClr val="63BAB2"/>
      </a:accent3>
      <a:accent4>
        <a:srgbClr val="F9E585"/>
      </a:accent4>
      <a:accent5>
        <a:srgbClr val="E29F4D"/>
      </a:accent5>
      <a:accent6>
        <a:srgbClr val="A12854"/>
      </a:accent6>
      <a:hlink>
        <a:srgbClr val="0070C0"/>
      </a:hlink>
      <a:folHlink>
        <a:srgbClr val="96969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6"/>
  </sheetPr>
  <dimension ref="A1:G52"/>
  <sheetViews>
    <sheetView zoomScaleNormal="100" workbookViewId="0">
      <pane ySplit="2" topLeftCell="A3" activePane="bottomLeft" state="frozen"/>
      <selection activeCell="A2" sqref="A2"/>
      <selection pane="bottomLeft"/>
    </sheetView>
  </sheetViews>
  <sheetFormatPr defaultColWidth="9.140625" defaultRowHeight="15" x14ac:dyDescent="0.25"/>
  <cols>
    <col min="1" max="1" width="45.7109375" style="152" customWidth="1"/>
    <col min="2" max="2" width="20.7109375" style="143" customWidth="1"/>
    <col min="3" max="3" width="22.28515625" style="143" customWidth="1"/>
    <col min="4" max="5" width="20.7109375" style="143" customWidth="1"/>
    <col min="6" max="16384" width="9.140625" style="143"/>
  </cols>
  <sheetData>
    <row r="1" spans="1:7" s="168" customFormat="1" ht="15.75" x14ac:dyDescent="0.25">
      <c r="A1" s="187" t="s">
        <v>44</v>
      </c>
      <c r="B1" s="166"/>
      <c r="C1" s="166"/>
      <c r="D1" s="167"/>
      <c r="E1" s="167"/>
    </row>
    <row r="2" spans="1:7" ht="43.5" x14ac:dyDescent="0.25">
      <c r="A2" s="87" t="s">
        <v>45</v>
      </c>
      <c r="B2" s="88" t="s">
        <v>46</v>
      </c>
      <c r="C2" s="89" t="s">
        <v>47</v>
      </c>
      <c r="D2" s="88" t="s">
        <v>48</v>
      </c>
      <c r="E2" s="89" t="s">
        <v>49</v>
      </c>
    </row>
    <row r="3" spans="1:7" x14ac:dyDescent="0.25">
      <c r="A3" s="146" t="s">
        <v>50</v>
      </c>
      <c r="B3" s="23">
        <f>'C.1 Federal Expenditures'!$G$3</f>
        <v>3162142819.8699999</v>
      </c>
      <c r="C3" s="23">
        <f>'C.2 State Expenditures'!$G$3</f>
        <v>5023870603.1199999</v>
      </c>
      <c r="D3" s="23">
        <f>'B. Total Expenditures'!$G$3</f>
        <v>8186013422.9899998</v>
      </c>
      <c r="E3" s="30">
        <f t="shared" ref="E3:E44" si="0">D3/($D$44)</f>
        <v>0.21820226544969423</v>
      </c>
    </row>
    <row r="4" spans="1:7" ht="43.5" x14ac:dyDescent="0.25">
      <c r="A4" s="56" t="s">
        <v>51</v>
      </c>
      <c r="B4" s="23">
        <f>'C.1 Federal Expenditures'!$H$3</f>
        <v>2974301225.1999993</v>
      </c>
      <c r="C4" s="23">
        <f>'C.2 State Expenditures'!$H$3</f>
        <v>4814016249.3499994</v>
      </c>
      <c r="D4" s="23">
        <f>'B. Total Expenditures'!$H$3</f>
        <v>7788317474.5499992</v>
      </c>
      <c r="E4" s="30">
        <f t="shared" si="0"/>
        <v>0.20760148184163651</v>
      </c>
    </row>
    <row r="5" spans="1:7" ht="29.25" x14ac:dyDescent="0.25">
      <c r="A5" s="56" t="s">
        <v>52</v>
      </c>
      <c r="B5" s="23">
        <f>'C.1 Federal Expenditures'!$I$3</f>
        <v>187841594.66999999</v>
      </c>
      <c r="C5" s="23">
        <f>'C.2 State Expenditures'!$I$3</f>
        <v>209854353.77999997</v>
      </c>
      <c r="D5" s="23">
        <f>'B. Total Expenditures'!$I$3</f>
        <v>397695948.44999993</v>
      </c>
      <c r="E5" s="30">
        <f t="shared" si="0"/>
        <v>1.0600783608324265E-2</v>
      </c>
    </row>
    <row r="6" spans="1:7" x14ac:dyDescent="0.25">
      <c r="A6" s="146" t="s">
        <v>53</v>
      </c>
      <c r="B6" s="23">
        <f>'C.1 Federal Expenditures'!$J$3</f>
        <v>665697109.90999997</v>
      </c>
      <c r="C6" s="69"/>
      <c r="D6" s="23">
        <f>'B. Total Expenditures'!$J$3</f>
        <v>665697109.90999997</v>
      </c>
      <c r="E6" s="30">
        <f t="shared" si="0"/>
        <v>1.7744488065183268E-2</v>
      </c>
      <c r="G6" s="151"/>
    </row>
    <row r="7" spans="1:7" x14ac:dyDescent="0.25">
      <c r="A7" s="56" t="s">
        <v>54</v>
      </c>
      <c r="B7" s="23">
        <f>'C.1 Federal Expenditures'!$K$3</f>
        <v>326305915.95999998</v>
      </c>
      <c r="C7" s="69"/>
      <c r="D7" s="23">
        <f>'B. Total Expenditures'!$K$3</f>
        <v>326305915.95999998</v>
      </c>
      <c r="E7" s="30">
        <f t="shared" si="0"/>
        <v>8.6978467311262936E-3</v>
      </c>
    </row>
    <row r="8" spans="1:7" x14ac:dyDescent="0.25">
      <c r="A8" s="56" t="s">
        <v>55</v>
      </c>
      <c r="B8" s="23">
        <f>'C.1 Federal Expenditures'!$L$3</f>
        <v>16012900.42</v>
      </c>
      <c r="C8" s="69"/>
      <c r="D8" s="23">
        <f>'B. Total Expenditures'!$L$3</f>
        <v>16012900.42</v>
      </c>
      <c r="E8" s="30">
        <f t="shared" si="0"/>
        <v>4.2683183712495466E-4</v>
      </c>
    </row>
    <row r="9" spans="1:7" ht="29.25" x14ac:dyDescent="0.25">
      <c r="A9" s="56" t="s">
        <v>56</v>
      </c>
      <c r="B9" s="23">
        <f>'C.1 Federal Expenditures'!$M$3</f>
        <v>323378293.52999997</v>
      </c>
      <c r="C9" s="69"/>
      <c r="D9" s="23">
        <f>'B. Total Expenditures'!$M$3</f>
        <v>323378293.52999997</v>
      </c>
      <c r="E9" s="30">
        <f t="shared" si="0"/>
        <v>8.6198094969320207E-3</v>
      </c>
    </row>
    <row r="10" spans="1:7" ht="29.25" x14ac:dyDescent="0.25">
      <c r="A10" s="146" t="s">
        <v>57</v>
      </c>
      <c r="B10" s="23">
        <f>'C.1 Federal Expenditures'!$N$3</f>
        <v>622773366.35000002</v>
      </c>
      <c r="C10" s="69"/>
      <c r="D10" s="23">
        <f>'B. Total Expenditures'!$N$3</f>
        <v>622773366.35000002</v>
      </c>
      <c r="E10" s="30">
        <f t="shared" si="0"/>
        <v>1.6600334299191433E-2</v>
      </c>
      <c r="G10" s="151"/>
    </row>
    <row r="11" spans="1:7" x14ac:dyDescent="0.25">
      <c r="A11" s="56" t="s">
        <v>58</v>
      </c>
      <c r="B11" s="23">
        <f>'C.1 Federal Expenditures'!$O$3</f>
        <v>532624560.26999998</v>
      </c>
      <c r="C11" s="69"/>
      <c r="D11" s="23">
        <f>'B. Total Expenditures'!$O$3</f>
        <v>532624560.26999998</v>
      </c>
      <c r="E11" s="30">
        <f t="shared" si="0"/>
        <v>1.4197372967733426E-2</v>
      </c>
    </row>
    <row r="12" spans="1:7" x14ac:dyDescent="0.25">
      <c r="A12" s="56" t="s">
        <v>59</v>
      </c>
      <c r="B12" s="23">
        <f>'C.1 Federal Expenditures'!$P$3</f>
        <v>2938023</v>
      </c>
      <c r="C12" s="69"/>
      <c r="D12" s="23">
        <f>'B. Total Expenditures'!$P$3</f>
        <v>2938023</v>
      </c>
      <c r="E12" s="30">
        <f t="shared" si="0"/>
        <v>7.8314466568410137E-5</v>
      </c>
    </row>
    <row r="13" spans="1:7" ht="29.25" x14ac:dyDescent="0.25">
      <c r="A13" s="56" t="s">
        <v>60</v>
      </c>
      <c r="B13" s="23">
        <f>'C.1 Federal Expenditures'!$Q$3</f>
        <v>87210783.079999998</v>
      </c>
      <c r="C13" s="69"/>
      <c r="D13" s="23">
        <f>'B. Total Expenditures'!$Q$3</f>
        <v>87210783.079999998</v>
      </c>
      <c r="E13" s="30">
        <f t="shared" si="0"/>
        <v>2.3246468648895971E-3</v>
      </c>
    </row>
    <row r="14" spans="1:7" x14ac:dyDescent="0.25">
      <c r="A14" s="146" t="s">
        <v>61</v>
      </c>
      <c r="B14" s="23">
        <f>'C.1 Federal Expenditures'!$R$3</f>
        <v>2230607145.9400001</v>
      </c>
      <c r="C14" s="23">
        <f>'C.2 State Expenditures'!$R$3</f>
        <v>665295288.80000007</v>
      </c>
      <c r="D14" s="23">
        <f>'B. Total Expenditures'!$R$3</f>
        <v>2895902434.7400002</v>
      </c>
      <c r="E14" s="30">
        <f t="shared" si="0"/>
        <v>7.7191721920088191E-2</v>
      </c>
      <c r="G14" s="151"/>
    </row>
    <row r="15" spans="1:7" x14ac:dyDescent="0.25">
      <c r="A15" s="56" t="s">
        <v>62</v>
      </c>
      <c r="B15" s="23">
        <f>'C.1 Federal Expenditures'!$S$3</f>
        <v>123638272.77</v>
      </c>
      <c r="C15" s="23">
        <f>'C.2 State Expenditures'!$S$3</f>
        <v>18209879.98</v>
      </c>
      <c r="D15" s="23">
        <f>'B. Total Expenditures'!$S$3</f>
        <v>141848152.75</v>
      </c>
      <c r="E15" s="30">
        <f t="shared" si="0"/>
        <v>3.7810331696962922E-3</v>
      </c>
    </row>
    <row r="16" spans="1:7" x14ac:dyDescent="0.25">
      <c r="A16" s="56" t="s">
        <v>63</v>
      </c>
      <c r="B16" s="23">
        <f>'C.1 Federal Expenditures'!$T$3</f>
        <v>771721889.62</v>
      </c>
      <c r="C16" s="23">
        <f>'C.2 State Expenditures'!$T$3</f>
        <v>478528349.03000009</v>
      </c>
      <c r="D16" s="23">
        <f>'B. Total Expenditures'!$T$3</f>
        <v>1250250238.6500001</v>
      </c>
      <c r="E16" s="30">
        <f t="shared" si="0"/>
        <v>3.3326042892415149E-2</v>
      </c>
    </row>
    <row r="17" spans="1:7" x14ac:dyDescent="0.25">
      <c r="A17" s="56" t="s">
        <v>64</v>
      </c>
      <c r="B17" s="23">
        <f>'C.1 Federal Expenditures'!$U$3</f>
        <v>1335246983.6099997</v>
      </c>
      <c r="C17" s="23">
        <f>'C.2 State Expenditures'!$U$3</f>
        <v>168557059.79000002</v>
      </c>
      <c r="D17" s="23">
        <f>'B. Total Expenditures'!$U$3</f>
        <v>1503804043.3999996</v>
      </c>
      <c r="E17" s="30">
        <f t="shared" si="0"/>
        <v>4.0084645859576072E-2</v>
      </c>
    </row>
    <row r="18" spans="1:7" x14ac:dyDescent="0.25">
      <c r="A18" s="146" t="s">
        <v>65</v>
      </c>
      <c r="B18" s="23">
        <f>'C.1 Federal Expenditures'!$V$3</f>
        <v>409500044.19</v>
      </c>
      <c r="C18" s="23">
        <f>'C.2 State Expenditures'!$V$3</f>
        <v>69829002.49000001</v>
      </c>
      <c r="D18" s="23">
        <f>'B. Total Expenditures'!$V$3</f>
        <v>479329046.68000001</v>
      </c>
      <c r="E18" s="30">
        <f t="shared" si="0"/>
        <v>1.2776754505151512E-2</v>
      </c>
      <c r="G18" s="151"/>
    </row>
    <row r="19" spans="1:7" x14ac:dyDescent="0.25">
      <c r="A19" s="146" t="s">
        <v>66</v>
      </c>
      <c r="B19" s="23">
        <f>'C.1 Federal Expenditures'!$W$3</f>
        <v>1578593252.3899999</v>
      </c>
      <c r="C19" s="23">
        <f>'C.2 State Expenditures'!$W$3</f>
        <v>6894014137.0800009</v>
      </c>
      <c r="D19" s="23">
        <f>'B. Total Expenditures'!$W$3</f>
        <v>8472607389.4700012</v>
      </c>
      <c r="E19" s="30">
        <f t="shared" si="0"/>
        <v>0.22584157038590683</v>
      </c>
      <c r="G19" s="151"/>
    </row>
    <row r="20" spans="1:7" x14ac:dyDescent="0.25">
      <c r="A20" s="56" t="s">
        <v>67</v>
      </c>
      <c r="B20" s="23">
        <f>'C.1 Federal Expenditures'!$X$3</f>
        <v>1534847333.3299999</v>
      </c>
      <c r="C20" s="23">
        <f>'C.2 State Expenditures'!$X$3</f>
        <v>3470875639.0900002</v>
      </c>
      <c r="D20" s="23">
        <f>'B. Total Expenditures'!$X$3</f>
        <v>5005722972.4200001</v>
      </c>
      <c r="E20" s="30">
        <f>D20/($D$44)</f>
        <v>0.13343003930680894</v>
      </c>
    </row>
    <row r="21" spans="1:7" x14ac:dyDescent="0.25">
      <c r="A21" s="56" t="s">
        <v>68</v>
      </c>
      <c r="B21" s="23">
        <f>'C.1 Federal Expenditures'!$Y$3</f>
        <v>43745919.060000002</v>
      </c>
      <c r="C21" s="23">
        <f>'C.2 State Expenditures'!$Y$3</f>
        <v>3423138498</v>
      </c>
      <c r="D21" s="23">
        <f>'B. Total Expenditures'!$Y$3</f>
        <v>3466884417.0599999</v>
      </c>
      <c r="E21" s="30">
        <f t="shared" si="0"/>
        <v>9.2411531079364409E-2</v>
      </c>
    </row>
    <row r="22" spans="1:7" ht="15.75" customHeight="1" x14ac:dyDescent="0.25">
      <c r="A22" s="146" t="s">
        <v>69</v>
      </c>
      <c r="B22" s="23">
        <f>'C.1 Federal Expenditures'!$Z$3</f>
        <v>5238564.3100000005</v>
      </c>
      <c r="C22" s="23">
        <f>'C.2 State Expenditures'!$Z$3</f>
        <v>773135.02</v>
      </c>
      <c r="D22" s="23">
        <f>'B. Total Expenditures'!$Z$3</f>
        <v>6011699.3300000001</v>
      </c>
      <c r="E22" s="30">
        <f t="shared" si="0"/>
        <v>1.6024484022031775E-4</v>
      </c>
      <c r="G22" s="151"/>
    </row>
    <row r="23" spans="1:7" x14ac:dyDescent="0.25">
      <c r="A23" s="146" t="s">
        <v>70</v>
      </c>
      <c r="B23" s="23">
        <f>'C.1 Federal Expenditures'!$AA$3</f>
        <v>340949067</v>
      </c>
      <c r="C23" s="23">
        <f>'C.2 State Expenditures'!$AA$3</f>
        <v>3028495844.7399998</v>
      </c>
      <c r="D23" s="23">
        <f>'B. Total Expenditures'!$AA$3</f>
        <v>3369444911.7399998</v>
      </c>
      <c r="E23" s="30">
        <f t="shared" si="0"/>
        <v>8.9814232527982887E-2</v>
      </c>
      <c r="G23" s="151"/>
    </row>
    <row r="24" spans="1:7" x14ac:dyDescent="0.25">
      <c r="A24" s="146" t="s">
        <v>71</v>
      </c>
      <c r="B24" s="23">
        <f>'C.1 Federal Expenditures'!$AB$3</f>
        <v>0</v>
      </c>
      <c r="C24" s="23">
        <f>'C.2 State Expenditures'!$AB$3</f>
        <v>700718080.49000001</v>
      </c>
      <c r="D24" s="23">
        <f>'B. Total Expenditures'!$AB$3</f>
        <v>700718080.49000001</v>
      </c>
      <c r="E24" s="30">
        <f t="shared" si="0"/>
        <v>1.8677989480822523E-2</v>
      </c>
      <c r="G24" s="151"/>
    </row>
    <row r="25" spans="1:7" x14ac:dyDescent="0.25">
      <c r="A25" s="146" t="s">
        <v>72</v>
      </c>
      <c r="B25" s="23">
        <f>'C.1 Federal Expenditures'!$AC$3</f>
        <v>497420622.94</v>
      </c>
      <c r="C25" s="23">
        <f>'C.2 State Expenditures'!$AC$3</f>
        <v>721644440.21999991</v>
      </c>
      <c r="D25" s="23">
        <f>'B. Total Expenditures'!$AC$3</f>
        <v>1219065063.1599998</v>
      </c>
      <c r="E25" s="30">
        <f t="shared" si="0"/>
        <v>3.2494786505606187E-2</v>
      </c>
      <c r="G25" s="151"/>
    </row>
    <row r="26" spans="1:7" x14ac:dyDescent="0.25">
      <c r="A26" s="146" t="s">
        <v>73</v>
      </c>
      <c r="B26" s="23">
        <f>'C.1 Federal Expenditures'!$AD$3</f>
        <v>202776604.78</v>
      </c>
      <c r="C26" s="23">
        <f>'C.2 State Expenditures'!$AD$3</f>
        <v>272688182.66000003</v>
      </c>
      <c r="D26" s="23">
        <f>'B. Total Expenditures'!$AD$3</f>
        <v>475464787.44000006</v>
      </c>
      <c r="E26" s="30">
        <f t="shared" si="0"/>
        <v>1.2673750750224255E-2</v>
      </c>
      <c r="G26" s="151"/>
    </row>
    <row r="27" spans="1:7" x14ac:dyDescent="0.25">
      <c r="A27" s="146" t="s">
        <v>74</v>
      </c>
      <c r="B27" s="23">
        <f>'C.1 Federal Expenditures'!$AE$3</f>
        <v>301290802.94</v>
      </c>
      <c r="C27" s="23">
        <f>'C.2 State Expenditures'!$AE$3</f>
        <v>960598044.3599999</v>
      </c>
      <c r="D27" s="23">
        <f>'B. Total Expenditures'!$AE$3</f>
        <v>1261888847.3</v>
      </c>
      <c r="E27" s="30">
        <f t="shared" si="0"/>
        <v>3.3636275803465614E-2</v>
      </c>
      <c r="G27" s="151"/>
    </row>
    <row r="28" spans="1:7" x14ac:dyDescent="0.25">
      <c r="A28" s="146" t="s">
        <v>75</v>
      </c>
      <c r="B28" s="23">
        <f>'C.1 Federal Expenditures'!$AF$3</f>
        <v>136129639.99000001</v>
      </c>
      <c r="C28" s="23">
        <f>'C.2 State Expenditures'!$AF$3</f>
        <v>158706977.31</v>
      </c>
      <c r="D28" s="23">
        <f>'B. Total Expenditures'!$AF$3</f>
        <v>294836617.30000001</v>
      </c>
      <c r="E28" s="30">
        <f t="shared" si="0"/>
        <v>7.8590168996920673E-3</v>
      </c>
      <c r="G28" s="151"/>
    </row>
    <row r="29" spans="1:7" ht="29.25" x14ac:dyDescent="0.25">
      <c r="A29" s="146" t="s">
        <v>76</v>
      </c>
      <c r="B29" s="23">
        <f>'C.1 Federal Expenditures'!$AG$3</f>
        <v>139890213.36000001</v>
      </c>
      <c r="C29" s="23">
        <f>'C.2 State Expenditures'!$AG$3</f>
        <v>51944708.139999993</v>
      </c>
      <c r="D29" s="23">
        <f>'B. Total Expenditures'!$AG$3</f>
        <v>191834921.5</v>
      </c>
      <c r="E29" s="30">
        <f t="shared" si="0"/>
        <v>5.1134553903986911E-3</v>
      </c>
      <c r="G29" s="151"/>
    </row>
    <row r="30" spans="1:7" x14ac:dyDescent="0.25">
      <c r="A30" s="146" t="s">
        <v>77</v>
      </c>
      <c r="B30" s="23">
        <f>'C.1 Federal Expenditures'!$AH$3</f>
        <v>1433929131.9400001</v>
      </c>
      <c r="C30" s="23">
        <f>'C.2 State Expenditures'!$AH$3</f>
        <v>729112065.50999999</v>
      </c>
      <c r="D30" s="23">
        <f>'B. Total Expenditures'!$AH$3</f>
        <v>2163041197.4499998</v>
      </c>
      <c r="E30" s="30">
        <f t="shared" si="0"/>
        <v>5.7656940583443984E-2</v>
      </c>
      <c r="G30" s="151"/>
    </row>
    <row r="31" spans="1:7" ht="29.25" x14ac:dyDescent="0.25">
      <c r="A31" s="56" t="s">
        <v>78</v>
      </c>
      <c r="B31" s="23">
        <f>'C.1 Federal Expenditures'!$AI$3</f>
        <v>753803876.91000009</v>
      </c>
      <c r="C31" s="23">
        <f>'C.2 State Expenditures'!$AI$3</f>
        <v>292122003.33999997</v>
      </c>
      <c r="D31" s="23">
        <f>'B. Total Expenditures'!$AI$3</f>
        <v>1045925880.25</v>
      </c>
      <c r="E31" s="30">
        <f t="shared" si="0"/>
        <v>2.7879675340143208E-2</v>
      </c>
    </row>
    <row r="32" spans="1:7" x14ac:dyDescent="0.25">
      <c r="A32" s="56" t="s">
        <v>79</v>
      </c>
      <c r="B32" s="23">
        <f>'C.1 Federal Expenditures'!$AJ$3</f>
        <v>9341253.75</v>
      </c>
      <c r="C32" s="23">
        <f>'C.2 State Expenditures'!$AJ$3</f>
        <v>14146890.23</v>
      </c>
      <c r="D32" s="23">
        <f>'B. Total Expenditures'!$AJ$3</f>
        <v>23488143.98</v>
      </c>
      <c r="E32" s="30">
        <f t="shared" si="0"/>
        <v>6.2608817782424232E-4</v>
      </c>
    </row>
    <row r="33" spans="1:7" x14ac:dyDescent="0.25">
      <c r="A33" s="56" t="s">
        <v>80</v>
      </c>
      <c r="B33" s="23">
        <f>'C.1 Federal Expenditures'!$AK$3</f>
        <v>670784001.27999997</v>
      </c>
      <c r="C33" s="23">
        <f>'C.2 State Expenditures'!$AK$3</f>
        <v>422843171.96000004</v>
      </c>
      <c r="D33" s="23">
        <f>'B. Total Expenditures'!$AK$3</f>
        <v>1093627173.24</v>
      </c>
      <c r="E33" s="30">
        <f t="shared" si="0"/>
        <v>2.9151177066009649E-2</v>
      </c>
    </row>
    <row r="34" spans="1:7" x14ac:dyDescent="0.25">
      <c r="A34" s="146" t="s">
        <v>81</v>
      </c>
      <c r="B34" s="23">
        <f>'C.1 Federal Expenditures'!$AL$3</f>
        <v>156348731.12</v>
      </c>
      <c r="C34" s="23">
        <f>'C.2 State Expenditures'!$AL$3</f>
        <v>19671742.59</v>
      </c>
      <c r="D34" s="23">
        <f>'B. Total Expenditures'!$AL$3</f>
        <v>176020473.71000001</v>
      </c>
      <c r="E34" s="30">
        <f t="shared" si="0"/>
        <v>4.6919134069806504E-3</v>
      </c>
      <c r="G34" s="151"/>
    </row>
    <row r="35" spans="1:7" x14ac:dyDescent="0.25">
      <c r="A35" s="146" t="s">
        <v>82</v>
      </c>
      <c r="B35" s="23">
        <f>'C.1 Federal Expenditures'!$AM$3</f>
        <v>2524877457.5499992</v>
      </c>
      <c r="C35" s="23">
        <f>'C.2 State Expenditures'!$AM$3</f>
        <v>1160531124.2600002</v>
      </c>
      <c r="D35" s="23">
        <f>'B. Total Expenditures'!$AM$3</f>
        <v>3685408581.8099995</v>
      </c>
      <c r="E35" s="30">
        <f t="shared" si="0"/>
        <v>9.8236401543177518E-2</v>
      </c>
      <c r="G35" s="151"/>
    </row>
    <row r="36" spans="1:7" x14ac:dyDescent="0.25">
      <c r="A36" s="56" t="s">
        <v>83</v>
      </c>
      <c r="B36" s="23">
        <f>'C.1 Federal Expenditures'!$AN$3</f>
        <v>1418800261.28</v>
      </c>
      <c r="C36" s="23">
        <f>'C.2 State Expenditures'!$AN$3</f>
        <v>942901587.7700001</v>
      </c>
      <c r="D36" s="23">
        <f>'B. Total Expenditures'!$AN$3</f>
        <v>2361701849.0500002</v>
      </c>
      <c r="E36" s="30">
        <f t="shared" si="0"/>
        <v>6.2952339209726621E-2</v>
      </c>
    </row>
    <row r="37" spans="1:7" x14ac:dyDescent="0.25">
      <c r="A37" s="56" t="s">
        <v>84</v>
      </c>
      <c r="B37" s="23">
        <f>'C.1 Federal Expenditures'!$AO$3</f>
        <v>904484402.4200002</v>
      </c>
      <c r="C37" s="23">
        <f>'C.2 State Expenditures'!$AO$3</f>
        <v>148109326.87</v>
      </c>
      <c r="D37" s="23">
        <f>'B. Total Expenditures'!$AO$3</f>
        <v>1052593729.2900002</v>
      </c>
      <c r="E37" s="30">
        <f t="shared" si="0"/>
        <v>2.8057410177728313E-2</v>
      </c>
    </row>
    <row r="38" spans="1:7" x14ac:dyDescent="0.25">
      <c r="A38" s="56" t="s">
        <v>85</v>
      </c>
      <c r="B38" s="23">
        <f>'C.1 Federal Expenditures'!$AP$3</f>
        <v>201592793.89000002</v>
      </c>
      <c r="C38" s="23">
        <f>'C.2 State Expenditures'!$AP$3</f>
        <v>69520209.659999996</v>
      </c>
      <c r="D38" s="23">
        <f>'B. Total Expenditures'!$AP$3</f>
        <v>271113003.55000001</v>
      </c>
      <c r="E38" s="30">
        <f t="shared" si="0"/>
        <v>7.226652157855039E-3</v>
      </c>
    </row>
    <row r="39" spans="1:7" x14ac:dyDescent="0.25">
      <c r="A39" s="146" t="s">
        <v>86</v>
      </c>
      <c r="B39" s="23">
        <f>'C.1 Federal Expenditures'!$AQ$3</f>
        <v>23894834.460000001</v>
      </c>
      <c r="C39" s="23">
        <f>'C.2 State Expenditures'!$AQ$3</f>
        <v>110396927.37</v>
      </c>
      <c r="D39" s="23">
        <f>'B. Total Expenditures'!$AQ$3</f>
        <v>134291761.83000001</v>
      </c>
      <c r="E39" s="30">
        <f t="shared" si="0"/>
        <v>3.579613805694657E-3</v>
      </c>
      <c r="G39" s="151"/>
    </row>
    <row r="40" spans="1:7" x14ac:dyDescent="0.25">
      <c r="A40" s="148" t="s">
        <v>87</v>
      </c>
      <c r="B40" s="70">
        <f>'C.1 Federal Expenditures'!$AR$3</f>
        <v>14432059408.980001</v>
      </c>
      <c r="C40" s="70">
        <f>'C.2 State Expenditures'!$AR$3</f>
        <v>20568290304.129997</v>
      </c>
      <c r="D40" s="70">
        <f>'B. Total Expenditures'!$AR$3</f>
        <v>35000349713.110001</v>
      </c>
      <c r="E40" s="51">
        <f t="shared" si="0"/>
        <v>0.93295175616052584</v>
      </c>
      <c r="G40" s="151"/>
    </row>
    <row r="41" spans="1:7" x14ac:dyDescent="0.25">
      <c r="A41" s="146" t="s">
        <v>88</v>
      </c>
      <c r="B41" s="23">
        <f>'C.1 Federal Expenditures'!$C$3</f>
        <v>1387090998.9100001</v>
      </c>
      <c r="C41" s="69"/>
      <c r="D41" s="23">
        <f>'B. Total Expenditures'!$C$3</f>
        <v>1387090998.9100001</v>
      </c>
      <c r="E41" s="30">
        <f t="shared" si="0"/>
        <v>3.6973601520981905E-2</v>
      </c>
      <c r="G41" s="151"/>
    </row>
    <row r="42" spans="1:7" x14ac:dyDescent="0.25">
      <c r="A42" s="146" t="s">
        <v>89</v>
      </c>
      <c r="B42" s="23">
        <f>'C.1 Federal Expenditures'!$D$3</f>
        <v>1128271629.9200001</v>
      </c>
      <c r="C42" s="69"/>
      <c r="D42" s="23">
        <f>'B. Total Expenditures'!$D$3</f>
        <v>1128271629.9200001</v>
      </c>
      <c r="E42" s="30">
        <f t="shared" si="0"/>
        <v>3.0074642316093327E-2</v>
      </c>
      <c r="G42" s="151"/>
    </row>
    <row r="43" spans="1:7" x14ac:dyDescent="0.25">
      <c r="A43" s="149" t="s">
        <v>90</v>
      </c>
      <c r="B43" s="70">
        <f>B41+B42</f>
        <v>2515362628.8299999</v>
      </c>
      <c r="C43" s="72"/>
      <c r="D43" s="70">
        <f>D41+D42</f>
        <v>2515362628.8299999</v>
      </c>
      <c r="E43" s="51">
        <f t="shared" si="0"/>
        <v>6.7048243837075222E-2</v>
      </c>
      <c r="G43" s="151"/>
    </row>
    <row r="44" spans="1:7" x14ac:dyDescent="0.25">
      <c r="A44" s="148" t="s">
        <v>91</v>
      </c>
      <c r="B44" s="50">
        <f>SUM(B41,B42, B3,B6,B10,B14,B18,B19,B22,B23,B24,B25,B26,B27,B28,B29,B30,B34,B35, B39)</f>
        <v>16947422037.870001</v>
      </c>
      <c r="C44" s="50">
        <f>SUM(C41,C42,C3,C6,C10,C14,C18,C19,C22,C23,C24,C25,C26,C27,C28,C29,C30,C34,C35, C39)</f>
        <v>20568290304.16</v>
      </c>
      <c r="D44" s="50">
        <f>B44+C44</f>
        <v>37515712342.029999</v>
      </c>
      <c r="E44" s="51">
        <f t="shared" si="0"/>
        <v>1</v>
      </c>
      <c r="G44" s="151"/>
    </row>
    <row r="45" spans="1:7" x14ac:dyDescent="0.25">
      <c r="A45" s="146" t="s">
        <v>92</v>
      </c>
      <c r="B45" s="23">
        <f>'C.1 Federal Expenditures'!$AS$3</f>
        <v>1669610335.9800003</v>
      </c>
      <c r="C45" s="69"/>
      <c r="D45" s="23">
        <f>'B. Total Expenditures'!$AS$3</f>
        <v>1669610335.9800003</v>
      </c>
      <c r="E45" s="71"/>
      <c r="G45" s="151"/>
    </row>
    <row r="46" spans="1:7" x14ac:dyDescent="0.25">
      <c r="A46" s="146" t="s">
        <v>93</v>
      </c>
      <c r="B46" s="23">
        <f>'C.1 Federal Expenditures'!$AT$3</f>
        <v>7986470559.6200018</v>
      </c>
      <c r="C46" s="69"/>
      <c r="D46" s="23">
        <f>'B. Total Expenditures'!$AT$3</f>
        <v>7986470559.6200018</v>
      </c>
      <c r="E46" s="71"/>
      <c r="G46" s="151"/>
    </row>
    <row r="47" spans="1:7" x14ac:dyDescent="0.25">
      <c r="B47" s="150"/>
      <c r="C47" s="150"/>
      <c r="D47" s="150"/>
      <c r="G47" s="151"/>
    </row>
    <row r="48" spans="1:7" x14ac:dyDescent="0.25">
      <c r="B48" s="31"/>
      <c r="C48" s="31"/>
      <c r="D48" s="31"/>
      <c r="G48" s="151"/>
    </row>
    <row r="49" spans="2:7" x14ac:dyDescent="0.25">
      <c r="B49" s="31"/>
      <c r="G49" s="151"/>
    </row>
    <row r="50" spans="2:7" x14ac:dyDescent="0.25">
      <c r="B50" s="31"/>
      <c r="G50" s="151"/>
    </row>
    <row r="51" spans="2:7" x14ac:dyDescent="0.25">
      <c r="B51" s="150"/>
      <c r="G51" s="151"/>
    </row>
    <row r="52" spans="2:7" x14ac:dyDescent="0.25">
      <c r="G52" s="151"/>
    </row>
  </sheetData>
  <pageMargins left="0.25" right="0.25" top="0.75" bottom="0.75" header="0.3" footer="0.3"/>
  <pageSetup scale="77" orientation="portrait" r:id="rId1"/>
  <headerFooter>
    <oddFooter>&amp;CPage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9">
    <tabColor theme="6"/>
  </sheetPr>
  <dimension ref="A1:B8"/>
  <sheetViews>
    <sheetView workbookViewId="0"/>
  </sheetViews>
  <sheetFormatPr defaultRowHeight="15" x14ac:dyDescent="0.25"/>
  <cols>
    <col min="1" max="1" width="46.7109375" customWidth="1"/>
    <col min="2" max="2" width="34" customWidth="1"/>
  </cols>
  <sheetData>
    <row r="1" spans="1:2" s="177" customFormat="1" ht="20.100000000000001" customHeight="1" x14ac:dyDescent="0.25">
      <c r="A1" s="176" t="s">
        <v>166</v>
      </c>
      <c r="B1" s="176"/>
    </row>
    <row r="2" spans="1:2" ht="18" customHeight="1" x14ac:dyDescent="0.25">
      <c r="A2" s="138" t="s">
        <v>167</v>
      </c>
      <c r="B2" s="139"/>
    </row>
    <row r="3" spans="1:2" ht="18" customHeight="1" x14ac:dyDescent="0.25">
      <c r="A3" s="21" t="s">
        <v>168</v>
      </c>
      <c r="B3" s="23">
        <f>'E.2 SFAG'!B3</f>
        <v>16212098537.210001</v>
      </c>
    </row>
    <row r="4" spans="1:2" ht="18" customHeight="1" x14ac:dyDescent="0.25">
      <c r="A4" s="21" t="s">
        <v>169</v>
      </c>
      <c r="B4" s="23">
        <f>'E.5 Contingency'!B3</f>
        <v>608000000</v>
      </c>
    </row>
    <row r="5" spans="1:2" ht="18" customHeight="1" x14ac:dyDescent="0.25">
      <c r="A5" s="22" t="s">
        <v>170</v>
      </c>
      <c r="B5" s="23">
        <f>SUM(B3:B4)</f>
        <v>16820098537.210001</v>
      </c>
    </row>
    <row r="6" spans="1:2" ht="18" customHeight="1" x14ac:dyDescent="0.25">
      <c r="A6" s="84" t="s">
        <v>171</v>
      </c>
      <c r="B6" s="85"/>
    </row>
    <row r="7" spans="1:2" ht="18" customHeight="1" x14ac:dyDescent="0.25">
      <c r="A7" s="21" t="s">
        <v>168</v>
      </c>
      <c r="B7" s="23">
        <f>'E.2 SFAG'!F3</f>
        <v>9783404395.3600006</v>
      </c>
    </row>
    <row r="8" spans="1:2" ht="18" customHeight="1" x14ac:dyDescent="0.25">
      <c r="A8" s="86" t="s">
        <v>172</v>
      </c>
      <c r="B8" s="69">
        <f>B5+B7</f>
        <v>26603502932.57</v>
      </c>
    </row>
  </sheetData>
  <pageMargins left="0.25" right="0.25" top="0.75" bottom="0.75" header="0.3" footer="0.3"/>
  <pageSetup orientation="portrait" r:id="rId1"/>
  <headerFooter>
    <oddFooter>&amp;CPage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2">
    <tabColor theme="7"/>
  </sheetPr>
  <dimension ref="A1:BE67"/>
  <sheetViews>
    <sheetView zoomScaleNormal="100" workbookViewId="0"/>
  </sheetViews>
  <sheetFormatPr defaultColWidth="9.140625" defaultRowHeight="15" x14ac:dyDescent="0.25"/>
  <cols>
    <col min="1" max="1" width="21" style="26" customWidth="1"/>
    <col min="2" max="4" width="16.7109375" style="26" customWidth="1"/>
    <col min="5" max="5" width="18.7109375" style="26" customWidth="1"/>
    <col min="6" max="6" width="18.28515625" style="26" customWidth="1"/>
    <col min="7" max="7" width="16.140625" style="26" customWidth="1"/>
    <col min="8" max="8" width="20.5703125" style="26" customWidth="1"/>
    <col min="9" max="11" width="15.42578125" style="26" customWidth="1"/>
    <col min="12" max="12" width="14.28515625" style="26" customWidth="1"/>
    <col min="13" max="15" width="15.42578125" style="26" customWidth="1"/>
    <col min="16" max="16" width="15.28515625" style="26" customWidth="1"/>
    <col min="17" max="17" width="15.42578125" style="26" customWidth="1"/>
    <col min="18" max="18" width="17.28515625" style="26" customWidth="1"/>
    <col min="19" max="20" width="15.42578125" style="26" customWidth="1"/>
    <col min="21" max="21" width="17.28515625" style="26" customWidth="1"/>
    <col min="22" max="22" width="16.85546875" style="26" customWidth="1"/>
    <col min="23" max="25" width="17.28515625" style="26" customWidth="1"/>
    <col min="26" max="26" width="15.28515625" style="26" customWidth="1"/>
    <col min="27" max="27" width="17.28515625" style="26" customWidth="1"/>
    <col min="28" max="31" width="15.42578125" style="26" customWidth="1"/>
    <col min="32" max="32" width="17.28515625" style="26" customWidth="1"/>
    <col min="33" max="33" width="15.42578125" style="26" customWidth="1"/>
    <col min="34" max="34" width="17.28515625" style="26" customWidth="1"/>
    <col min="35" max="35" width="15.42578125" style="26" customWidth="1"/>
    <col min="36" max="36" width="14.28515625" style="26" customWidth="1"/>
    <col min="37" max="37" width="16.85546875" style="26" customWidth="1"/>
    <col min="38" max="38" width="15.28515625" style="26" customWidth="1"/>
    <col min="39" max="40" width="17.28515625" style="26" customWidth="1"/>
    <col min="41" max="41" width="16.85546875" style="26" customWidth="1"/>
    <col min="42" max="42" width="18" style="26" customWidth="1"/>
    <col min="43" max="43" width="17.28515625" style="26" customWidth="1"/>
    <col min="44" max="44" width="18.7109375" style="26" bestFit="1" customWidth="1"/>
    <col min="45" max="46" width="17.28515625" style="26" bestFit="1" customWidth="1"/>
    <col min="47" max="47" width="17.85546875" style="26" bestFit="1" customWidth="1"/>
    <col min="48" max="48" width="15.5703125" style="26" bestFit="1" customWidth="1"/>
    <col min="49" max="16384" width="9.140625" style="26"/>
  </cols>
  <sheetData>
    <row r="1" spans="1:57" ht="15.75" customHeight="1" x14ac:dyDescent="0.25">
      <c r="B1" s="95" t="s">
        <v>228</v>
      </c>
      <c r="C1" s="83"/>
      <c r="D1" s="83"/>
      <c r="E1" s="83"/>
      <c r="F1" s="83"/>
      <c r="G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row>
    <row r="2" spans="1:57" ht="78" customHeight="1" x14ac:dyDescent="0.25">
      <c r="A2" s="184" t="s">
        <v>110</v>
      </c>
      <c r="B2" s="184" t="s">
        <v>183</v>
      </c>
      <c r="C2" s="184" t="s">
        <v>184</v>
      </c>
      <c r="D2" s="184" t="s">
        <v>185</v>
      </c>
      <c r="E2" s="184" t="s">
        <v>186</v>
      </c>
      <c r="F2" s="184" t="s">
        <v>187</v>
      </c>
      <c r="G2" s="184" t="s">
        <v>188</v>
      </c>
      <c r="H2" s="62" t="s">
        <v>189</v>
      </c>
      <c r="I2" s="62" t="s">
        <v>190</v>
      </c>
      <c r="J2" s="184" t="s">
        <v>191</v>
      </c>
      <c r="K2" s="62" t="s">
        <v>192</v>
      </c>
      <c r="L2" s="62" t="s">
        <v>193</v>
      </c>
      <c r="M2" s="62" t="s">
        <v>194</v>
      </c>
      <c r="N2" s="184" t="s">
        <v>195</v>
      </c>
      <c r="O2" s="62" t="s">
        <v>196</v>
      </c>
      <c r="P2" s="62" t="s">
        <v>197</v>
      </c>
      <c r="Q2" s="62" t="s">
        <v>198</v>
      </c>
      <c r="R2" s="184" t="s">
        <v>199</v>
      </c>
      <c r="S2" s="62" t="s">
        <v>200</v>
      </c>
      <c r="T2" s="62" t="s">
        <v>201</v>
      </c>
      <c r="U2" s="62" t="s">
        <v>202</v>
      </c>
      <c r="V2" s="184" t="s">
        <v>203</v>
      </c>
      <c r="W2" s="184" t="s">
        <v>204</v>
      </c>
      <c r="X2" s="62" t="s">
        <v>205</v>
      </c>
      <c r="Y2" s="62" t="s">
        <v>206</v>
      </c>
      <c r="Z2" s="184" t="s">
        <v>207</v>
      </c>
      <c r="AA2" s="184" t="s">
        <v>208</v>
      </c>
      <c r="AB2" s="184" t="s">
        <v>209</v>
      </c>
      <c r="AC2" s="184" t="s">
        <v>210</v>
      </c>
      <c r="AD2" s="184" t="s">
        <v>211</v>
      </c>
      <c r="AE2" s="184" t="s">
        <v>212</v>
      </c>
      <c r="AF2" s="184" t="s">
        <v>213</v>
      </c>
      <c r="AG2" s="184" t="s">
        <v>214</v>
      </c>
      <c r="AH2" s="184" t="s">
        <v>215</v>
      </c>
      <c r="AI2" s="62" t="s">
        <v>216</v>
      </c>
      <c r="AJ2" s="62" t="s">
        <v>217</v>
      </c>
      <c r="AK2" s="62" t="s">
        <v>218</v>
      </c>
      <c r="AL2" s="184" t="s">
        <v>219</v>
      </c>
      <c r="AM2" s="184" t="s">
        <v>220</v>
      </c>
      <c r="AN2" s="62" t="s">
        <v>221</v>
      </c>
      <c r="AO2" s="62" t="s">
        <v>222</v>
      </c>
      <c r="AP2" s="62" t="s">
        <v>223</v>
      </c>
      <c r="AQ2" s="184" t="s">
        <v>224</v>
      </c>
      <c r="AR2" s="184" t="s">
        <v>225</v>
      </c>
      <c r="AS2" s="184" t="s">
        <v>226</v>
      </c>
      <c r="AT2" s="184" t="s">
        <v>227</v>
      </c>
    </row>
    <row r="3" spans="1:57" ht="19.5" customHeight="1" x14ac:dyDescent="0.25">
      <c r="A3" s="32" t="s">
        <v>114</v>
      </c>
      <c r="B3" s="23">
        <f>'C.1 Federal Expenditures'!B3+'C.2 State Expenditures'!B3</f>
        <v>16820098537.210001</v>
      </c>
      <c r="C3" s="23">
        <f>'C.1 Federal Expenditures'!C3+'C.2 State Expenditures'!C3</f>
        <v>1387090998.9100001</v>
      </c>
      <c r="D3" s="23">
        <f>'C.1 Federal Expenditures'!D3+'C.2 State Expenditures'!D3</f>
        <v>1128271629.9200001</v>
      </c>
      <c r="E3" s="23">
        <f>'C.1 Federal Expenditures'!E3+'C.2 State Expenditures'!E3</f>
        <v>13696735908.359999</v>
      </c>
      <c r="F3" s="23">
        <f>'C.1 Federal Expenditures'!F3+'C.2 State Expenditures'!F3</f>
        <v>9783404395.3600006</v>
      </c>
      <c r="G3" s="23">
        <f>'C.1 Federal Expenditures'!G3+'C.2 State Expenditures'!G3</f>
        <v>8186013422.9899998</v>
      </c>
      <c r="H3" s="23">
        <f>'C.1 Federal Expenditures'!H3+'C.2 State Expenditures'!H3</f>
        <v>7788317474.5499992</v>
      </c>
      <c r="I3" s="23">
        <f>'C.1 Federal Expenditures'!I3+'C.2 State Expenditures'!I3</f>
        <v>397695948.44999993</v>
      </c>
      <c r="J3" s="23">
        <f>'C.1 Federal Expenditures'!J3+'C.2 State Expenditures'!J3</f>
        <v>665697109.90999997</v>
      </c>
      <c r="K3" s="23">
        <f>'C.1 Federal Expenditures'!K3+'C.2 State Expenditures'!K3</f>
        <v>326305915.95999998</v>
      </c>
      <c r="L3" s="23">
        <f>'C.1 Federal Expenditures'!L3+'C.2 State Expenditures'!L3</f>
        <v>16012900.42</v>
      </c>
      <c r="M3" s="23">
        <f>'C.1 Federal Expenditures'!M3+'C.2 State Expenditures'!M3</f>
        <v>323378293.52999997</v>
      </c>
      <c r="N3" s="23">
        <f>'C.1 Federal Expenditures'!N3+'C.2 State Expenditures'!N3</f>
        <v>622773366.35000002</v>
      </c>
      <c r="O3" s="23">
        <f>'C.1 Federal Expenditures'!O3+'C.2 State Expenditures'!O3</f>
        <v>532624560.26999998</v>
      </c>
      <c r="P3" s="23">
        <f>'C.1 Federal Expenditures'!P3+'C.2 State Expenditures'!P3</f>
        <v>2938023</v>
      </c>
      <c r="Q3" s="23">
        <f>'C.1 Federal Expenditures'!Q3+'C.2 State Expenditures'!Q3</f>
        <v>87210783.079999998</v>
      </c>
      <c r="R3" s="23">
        <f>'C.1 Federal Expenditures'!R3+'C.2 State Expenditures'!R3</f>
        <v>2895902434.7400002</v>
      </c>
      <c r="S3" s="23">
        <f>'C.1 Federal Expenditures'!S3+'C.2 State Expenditures'!S3</f>
        <v>141848152.75</v>
      </c>
      <c r="T3" s="23">
        <f>'C.1 Federal Expenditures'!T3+'C.2 State Expenditures'!T3</f>
        <v>1250250238.6500001</v>
      </c>
      <c r="U3" s="23">
        <f>'C.1 Federal Expenditures'!U3+'C.2 State Expenditures'!U3</f>
        <v>1503804043.3999996</v>
      </c>
      <c r="V3" s="23">
        <f>'C.1 Federal Expenditures'!V3+'C.2 State Expenditures'!V3</f>
        <v>479329046.68000001</v>
      </c>
      <c r="W3" s="23">
        <f>'C.1 Federal Expenditures'!W3+'C.2 State Expenditures'!W3</f>
        <v>8472607389.4700012</v>
      </c>
      <c r="X3" s="23">
        <f>'C.1 Federal Expenditures'!X3+'C.2 State Expenditures'!X3</f>
        <v>5005722972.4200001</v>
      </c>
      <c r="Y3" s="23">
        <f>'C.1 Federal Expenditures'!Y3+'C.2 State Expenditures'!Y3</f>
        <v>3466884417.0599999</v>
      </c>
      <c r="Z3" s="23">
        <f>'C.1 Federal Expenditures'!Z3+'C.2 State Expenditures'!Z3</f>
        <v>6011699.3300000001</v>
      </c>
      <c r="AA3" s="23">
        <f>'C.1 Federal Expenditures'!AA3+'C.2 State Expenditures'!AA3</f>
        <v>3369444911.7399998</v>
      </c>
      <c r="AB3" s="23">
        <f>'C.1 Federal Expenditures'!AB3+'C.2 State Expenditures'!AB3</f>
        <v>700718080.49000001</v>
      </c>
      <c r="AC3" s="23">
        <f>'C.1 Federal Expenditures'!AC3+'C.2 State Expenditures'!AC3</f>
        <v>1219065063.1599998</v>
      </c>
      <c r="AD3" s="23">
        <f>'C.1 Federal Expenditures'!AD3+'C.2 State Expenditures'!AD3</f>
        <v>475464787.44000006</v>
      </c>
      <c r="AE3" s="23">
        <f>'C.1 Federal Expenditures'!AE3+'C.2 State Expenditures'!AE3</f>
        <v>1261888847.3</v>
      </c>
      <c r="AF3" s="23">
        <f>'C.1 Federal Expenditures'!AF3+'C.2 State Expenditures'!AF3</f>
        <v>294836617.30000001</v>
      </c>
      <c r="AG3" s="23">
        <f>'C.1 Federal Expenditures'!AG3+'C.2 State Expenditures'!AG3</f>
        <v>191834921.5</v>
      </c>
      <c r="AH3" s="23">
        <f>'C.1 Federal Expenditures'!AH3+'C.2 State Expenditures'!AH3</f>
        <v>2163041197.4499998</v>
      </c>
      <c r="AI3" s="23">
        <f>'C.1 Federal Expenditures'!AI3+'C.2 State Expenditures'!AI3</f>
        <v>1045925880.25</v>
      </c>
      <c r="AJ3" s="23">
        <f>'C.1 Federal Expenditures'!AJ3+'C.2 State Expenditures'!AJ3</f>
        <v>23488143.98</v>
      </c>
      <c r="AK3" s="23">
        <f>'C.1 Federal Expenditures'!AK3+'C.2 State Expenditures'!AK3</f>
        <v>1093627173.24</v>
      </c>
      <c r="AL3" s="23">
        <f>'C.1 Federal Expenditures'!AL3+'C.2 State Expenditures'!AL3</f>
        <v>176020473.71000001</v>
      </c>
      <c r="AM3" s="23">
        <f>'C.1 Federal Expenditures'!AM3+'C.2 State Expenditures'!AM3</f>
        <v>3685408581.8099995</v>
      </c>
      <c r="AN3" s="23">
        <f>'C.1 Federal Expenditures'!AN3+'C.2 State Expenditures'!AN3</f>
        <v>2361701849.0500002</v>
      </c>
      <c r="AO3" s="23">
        <f>'C.1 Federal Expenditures'!AO3+'C.2 State Expenditures'!AO3</f>
        <v>1052593729.2900002</v>
      </c>
      <c r="AP3" s="23">
        <f>'C.1 Federal Expenditures'!AP3+'C.2 State Expenditures'!AP3</f>
        <v>271113003.55000001</v>
      </c>
      <c r="AQ3" s="23">
        <f>'C.1 Federal Expenditures'!AQ3+'C.2 State Expenditures'!AQ3</f>
        <v>134291761.83000001</v>
      </c>
      <c r="AR3" s="23">
        <f>'C.1 Federal Expenditures'!AR3+'C.2 State Expenditures'!AR3</f>
        <v>35000349713.110001</v>
      </c>
      <c r="AS3" s="23">
        <f>'C.1 Federal Expenditures'!AS3</f>
        <v>1669610335.9800003</v>
      </c>
      <c r="AT3" s="23">
        <f>'C.1 Federal Expenditures'!AT3</f>
        <v>7986470559.6200018</v>
      </c>
      <c r="AU3" s="141"/>
      <c r="AV3" s="8"/>
      <c r="AW3" s="8"/>
      <c r="AX3" s="8"/>
      <c r="AY3" s="8"/>
      <c r="AZ3" s="8"/>
      <c r="BA3" s="8"/>
      <c r="BB3" s="8"/>
      <c r="BC3" s="8"/>
      <c r="BD3" s="8"/>
      <c r="BE3" s="8"/>
    </row>
    <row r="4" spans="1:57" ht="18.75" customHeight="1" x14ac:dyDescent="0.25">
      <c r="A4" s="33" t="s">
        <v>115</v>
      </c>
      <c r="B4" s="23">
        <f>'C.1 Federal Expenditures'!B4+'C.2 State Expenditures'!B4</f>
        <v>103608790.40000001</v>
      </c>
      <c r="C4" s="23">
        <f>'C.1 Federal Expenditures'!C4+'C.2 State Expenditures'!C4</f>
        <v>18601451</v>
      </c>
      <c r="D4" s="23">
        <f>'C.1 Federal Expenditures'!D4+'C.2 State Expenditures'!D4</f>
        <v>9300725</v>
      </c>
      <c r="E4" s="23">
        <f>'C.1 Federal Expenditures'!E4+'C.2 State Expenditures'!E4</f>
        <v>65105091</v>
      </c>
      <c r="F4" s="23">
        <f>'C.1 Federal Expenditures'!F4+'C.2 State Expenditures'!F4</f>
        <v>59234364</v>
      </c>
      <c r="G4" s="23">
        <f>'C.1 Federal Expenditures'!G4+'C.2 State Expenditures'!G4</f>
        <v>32124953.240000002</v>
      </c>
      <c r="H4" s="23">
        <f>'C.1 Federal Expenditures'!H4+'C.2 State Expenditures'!H4</f>
        <v>32124953.240000002</v>
      </c>
      <c r="I4" s="23">
        <f>'C.1 Federal Expenditures'!I4+'C.2 State Expenditures'!I4</f>
        <v>0</v>
      </c>
      <c r="J4" s="23">
        <f>'C.1 Federal Expenditures'!J4+'C.2 State Expenditures'!J4</f>
        <v>0</v>
      </c>
      <c r="K4" s="23">
        <f>'C.1 Federal Expenditures'!K4+'C.2 State Expenditures'!K4</f>
        <v>0</v>
      </c>
      <c r="L4" s="23">
        <f>'C.1 Federal Expenditures'!L4+'C.2 State Expenditures'!L4</f>
        <v>0</v>
      </c>
      <c r="M4" s="23">
        <f>'C.1 Federal Expenditures'!M4+'C.2 State Expenditures'!M4</f>
        <v>0</v>
      </c>
      <c r="N4" s="23">
        <f>'C.1 Federal Expenditures'!N4+'C.2 State Expenditures'!N4</f>
        <v>0</v>
      </c>
      <c r="O4" s="23">
        <f>'C.1 Federal Expenditures'!O4+'C.2 State Expenditures'!O4</f>
        <v>0</v>
      </c>
      <c r="P4" s="23">
        <f>'C.1 Federal Expenditures'!P4+'C.2 State Expenditures'!P4</f>
        <v>0</v>
      </c>
      <c r="Q4" s="23">
        <f>'C.1 Federal Expenditures'!Q4+'C.2 State Expenditures'!Q4</f>
        <v>0</v>
      </c>
      <c r="R4" s="23">
        <f>'C.1 Federal Expenditures'!R4+'C.2 State Expenditures'!R4</f>
        <v>9529557</v>
      </c>
      <c r="S4" s="23">
        <f>'C.1 Federal Expenditures'!S4+'C.2 State Expenditures'!S4</f>
        <v>4904987</v>
      </c>
      <c r="T4" s="23">
        <f>'C.1 Federal Expenditures'!T4+'C.2 State Expenditures'!T4</f>
        <v>1384473</v>
      </c>
      <c r="U4" s="23">
        <f>'C.1 Federal Expenditures'!U4+'C.2 State Expenditures'!U4</f>
        <v>3240097</v>
      </c>
      <c r="V4" s="23">
        <f>'C.1 Federal Expenditures'!V4+'C.2 State Expenditures'!V4</f>
        <v>4814691</v>
      </c>
      <c r="W4" s="23">
        <f>'C.1 Federal Expenditures'!W4+'C.2 State Expenditures'!W4</f>
        <v>53443680.059999995</v>
      </c>
      <c r="X4" s="23">
        <f>'C.1 Federal Expenditures'!X4+'C.2 State Expenditures'!X4</f>
        <v>1669384</v>
      </c>
      <c r="Y4" s="23">
        <f>'C.1 Federal Expenditures'!Y4+'C.2 State Expenditures'!Y4</f>
        <v>51774296.059999995</v>
      </c>
      <c r="Z4" s="23">
        <f>'C.1 Federal Expenditures'!Z4+'C.2 State Expenditures'!Z4</f>
        <v>0</v>
      </c>
      <c r="AA4" s="23">
        <f>'C.1 Federal Expenditures'!AA4+'C.2 State Expenditures'!AA4</f>
        <v>0</v>
      </c>
      <c r="AB4" s="23">
        <f>'C.1 Federal Expenditures'!AB4+'C.2 State Expenditures'!AB4</f>
        <v>0</v>
      </c>
      <c r="AC4" s="23">
        <f>'C.1 Federal Expenditures'!AC4+'C.2 State Expenditures'!AC4</f>
        <v>48166396.129999995</v>
      </c>
      <c r="AD4" s="23">
        <f>'C.1 Federal Expenditures'!AD4+'C.2 State Expenditures'!AD4</f>
        <v>745142</v>
      </c>
      <c r="AE4" s="23">
        <f>'C.1 Federal Expenditures'!AE4+'C.2 State Expenditures'!AE4</f>
        <v>2546853</v>
      </c>
      <c r="AF4" s="23">
        <f>'C.1 Federal Expenditures'!AF4+'C.2 State Expenditures'!AF4</f>
        <v>2251520</v>
      </c>
      <c r="AG4" s="23">
        <f>'C.1 Federal Expenditures'!AG4+'C.2 State Expenditures'!AG4</f>
        <v>6208258</v>
      </c>
      <c r="AH4" s="23">
        <f>'C.1 Federal Expenditures'!AH4+'C.2 State Expenditures'!AH4</f>
        <v>25068235</v>
      </c>
      <c r="AI4" s="23">
        <f>'C.1 Federal Expenditures'!AI4+'C.2 State Expenditures'!AI4</f>
        <v>0</v>
      </c>
      <c r="AJ4" s="23">
        <f>'C.1 Federal Expenditures'!AJ4+'C.2 State Expenditures'!AJ4</f>
        <v>0</v>
      </c>
      <c r="AK4" s="23">
        <f>'C.1 Federal Expenditures'!AK4+'C.2 State Expenditures'!AK4</f>
        <v>25068235</v>
      </c>
      <c r="AL4" s="23">
        <f>'C.1 Federal Expenditures'!AL4+'C.2 State Expenditures'!AL4</f>
        <v>1067069</v>
      </c>
      <c r="AM4" s="23">
        <f>'C.1 Federal Expenditures'!AM4+'C.2 State Expenditures'!AM4</f>
        <v>19904935</v>
      </c>
      <c r="AN4" s="23">
        <f>'C.1 Federal Expenditures'!AN4+'C.2 State Expenditures'!AN4</f>
        <v>4383001</v>
      </c>
      <c r="AO4" s="23">
        <f>'C.1 Federal Expenditures'!AO4+'C.2 State Expenditures'!AO4</f>
        <v>14741430</v>
      </c>
      <c r="AP4" s="23">
        <f>'C.1 Federal Expenditures'!AP4+'C.2 State Expenditures'!AP4</f>
        <v>780504</v>
      </c>
      <c r="AQ4" s="23">
        <f>'C.1 Federal Expenditures'!AQ4+'C.2 State Expenditures'!AQ4</f>
        <v>0</v>
      </c>
      <c r="AR4" s="23">
        <f>'C.1 Federal Expenditures'!AR4+'C.2 State Expenditures'!AR4</f>
        <v>205871289.42000002</v>
      </c>
      <c r="AS4" s="23">
        <f>'C.1 Federal Expenditures'!AS4</f>
        <v>0</v>
      </c>
      <c r="AT4" s="23">
        <f>'C.1 Federal Expenditures'!AT4</f>
        <v>46731540.329999998</v>
      </c>
      <c r="AU4" s="8"/>
      <c r="AV4" s="8"/>
      <c r="AW4" s="8"/>
      <c r="AX4" s="8"/>
      <c r="AY4" s="8"/>
      <c r="AZ4" s="8"/>
      <c r="BA4" s="8"/>
      <c r="BB4" s="8"/>
      <c r="BC4" s="8"/>
      <c r="BD4" s="8"/>
      <c r="BE4" s="8"/>
    </row>
    <row r="5" spans="1:57" x14ac:dyDescent="0.25">
      <c r="A5" s="33" t="s">
        <v>116</v>
      </c>
      <c r="B5" s="23">
        <f>'C.1 Federal Expenditures'!B5+'C.2 State Expenditures'!B5</f>
        <v>32973843.539999999</v>
      </c>
      <c r="C5" s="23">
        <f>'C.1 Federal Expenditures'!C5+'C.2 State Expenditures'!C5</f>
        <v>6594768.71</v>
      </c>
      <c r="D5" s="23">
        <f>'C.1 Federal Expenditures'!D5+'C.2 State Expenditures'!D5</f>
        <v>3297384.35</v>
      </c>
      <c r="E5" s="23">
        <f>'C.1 Federal Expenditures'!E5+'C.2 State Expenditures'!E5</f>
        <v>23081690.469999999</v>
      </c>
      <c r="F5" s="23">
        <f>'C.1 Federal Expenditures'!F5+'C.2 State Expenditures'!F5</f>
        <v>15592120.82</v>
      </c>
      <c r="G5" s="23">
        <f>'C.1 Federal Expenditures'!G5+'C.2 State Expenditures'!G5</f>
        <v>18434755.859999999</v>
      </c>
      <c r="H5" s="23">
        <f>'C.1 Federal Expenditures'!H5+'C.2 State Expenditures'!H5</f>
        <v>18434755.859999999</v>
      </c>
      <c r="I5" s="23">
        <f>'C.1 Federal Expenditures'!I5+'C.2 State Expenditures'!I5</f>
        <v>0</v>
      </c>
      <c r="J5" s="23">
        <f>'C.1 Federal Expenditures'!J5+'C.2 State Expenditures'!J5</f>
        <v>0</v>
      </c>
      <c r="K5" s="23">
        <f>'C.1 Federal Expenditures'!K5+'C.2 State Expenditures'!K5</f>
        <v>0</v>
      </c>
      <c r="L5" s="23">
        <f>'C.1 Federal Expenditures'!L5+'C.2 State Expenditures'!L5</f>
        <v>0</v>
      </c>
      <c r="M5" s="23">
        <f>'C.1 Federal Expenditures'!M5+'C.2 State Expenditures'!M5</f>
        <v>0</v>
      </c>
      <c r="N5" s="23">
        <f>'C.1 Federal Expenditures'!N5+'C.2 State Expenditures'!N5</f>
        <v>0</v>
      </c>
      <c r="O5" s="23">
        <f>'C.1 Federal Expenditures'!O5+'C.2 State Expenditures'!O5</f>
        <v>0</v>
      </c>
      <c r="P5" s="23">
        <f>'C.1 Federal Expenditures'!P5+'C.2 State Expenditures'!P5</f>
        <v>0</v>
      </c>
      <c r="Q5" s="23">
        <f>'C.1 Federal Expenditures'!Q5+'C.2 State Expenditures'!Q5</f>
        <v>0</v>
      </c>
      <c r="R5" s="23">
        <f>'C.1 Federal Expenditures'!R5+'C.2 State Expenditures'!R5</f>
        <v>2760423.81</v>
      </c>
      <c r="S5" s="23">
        <f>'C.1 Federal Expenditures'!S5+'C.2 State Expenditures'!S5</f>
        <v>1023453.54</v>
      </c>
      <c r="T5" s="23">
        <f>'C.1 Federal Expenditures'!T5+'C.2 State Expenditures'!T5</f>
        <v>20837.23</v>
      </c>
      <c r="U5" s="23">
        <f>'C.1 Federal Expenditures'!U5+'C.2 State Expenditures'!U5</f>
        <v>1716133.04</v>
      </c>
      <c r="V5" s="23">
        <f>'C.1 Federal Expenditures'!V5+'C.2 State Expenditures'!V5</f>
        <v>44864.09</v>
      </c>
      <c r="W5" s="23">
        <f>'C.1 Federal Expenditures'!W5+'C.2 State Expenditures'!W5</f>
        <v>0</v>
      </c>
      <c r="X5" s="23">
        <f>'C.1 Federal Expenditures'!X5+'C.2 State Expenditures'!X5</f>
        <v>0</v>
      </c>
      <c r="Y5" s="23">
        <f>'C.1 Federal Expenditures'!Y5+'C.2 State Expenditures'!Y5</f>
        <v>0</v>
      </c>
      <c r="Z5" s="23">
        <f>'C.1 Federal Expenditures'!Z5+'C.2 State Expenditures'!Z5</f>
        <v>0</v>
      </c>
      <c r="AA5" s="23">
        <f>'C.1 Federal Expenditures'!AA5+'C.2 State Expenditures'!AA5</f>
        <v>0</v>
      </c>
      <c r="AB5" s="23">
        <f>'C.1 Federal Expenditures'!AB5+'C.2 State Expenditures'!AB5</f>
        <v>0</v>
      </c>
      <c r="AC5" s="23">
        <f>'C.1 Federal Expenditures'!AC5+'C.2 State Expenditures'!AC5</f>
        <v>0</v>
      </c>
      <c r="AD5" s="23">
        <f>'C.1 Federal Expenditures'!AD5+'C.2 State Expenditures'!AD5</f>
        <v>0</v>
      </c>
      <c r="AE5" s="23">
        <f>'C.1 Federal Expenditures'!AE5+'C.2 State Expenditures'!AE5</f>
        <v>1899194.5999999999</v>
      </c>
      <c r="AF5" s="23">
        <f>'C.1 Federal Expenditures'!AF5+'C.2 State Expenditures'!AF5</f>
        <v>343016.53</v>
      </c>
      <c r="AG5" s="23">
        <f>'C.1 Federal Expenditures'!AG5+'C.2 State Expenditures'!AG5</f>
        <v>0</v>
      </c>
      <c r="AH5" s="23">
        <f>'C.1 Federal Expenditures'!AH5+'C.2 State Expenditures'!AH5</f>
        <v>0</v>
      </c>
      <c r="AI5" s="23">
        <f>'C.1 Federal Expenditures'!AI5+'C.2 State Expenditures'!AI5</f>
        <v>0</v>
      </c>
      <c r="AJ5" s="23">
        <f>'C.1 Federal Expenditures'!AJ5+'C.2 State Expenditures'!AJ5</f>
        <v>0</v>
      </c>
      <c r="AK5" s="23">
        <f>'C.1 Federal Expenditures'!AK5+'C.2 State Expenditures'!AK5</f>
        <v>0</v>
      </c>
      <c r="AL5" s="23">
        <f>'C.1 Federal Expenditures'!AL5+'C.2 State Expenditures'!AL5</f>
        <v>0</v>
      </c>
      <c r="AM5" s="23">
        <f>'C.1 Federal Expenditures'!AM5+'C.2 State Expenditures'!AM5</f>
        <v>5239130.3899999997</v>
      </c>
      <c r="AN5" s="23">
        <f>'C.1 Federal Expenditures'!AN5+'C.2 State Expenditures'!AN5</f>
        <v>5239130.3899999997</v>
      </c>
      <c r="AO5" s="23">
        <f>'C.1 Federal Expenditures'!AO5+'C.2 State Expenditures'!AO5</f>
        <v>0</v>
      </c>
      <c r="AP5" s="23">
        <f>'C.1 Federal Expenditures'!AP5+'C.2 State Expenditures'!AP5</f>
        <v>0</v>
      </c>
      <c r="AQ5" s="23">
        <f>'C.1 Federal Expenditures'!AQ5+'C.2 State Expenditures'!AQ5</f>
        <v>0</v>
      </c>
      <c r="AR5" s="23">
        <f>'C.1 Federal Expenditures'!AR5+'C.2 State Expenditures'!AR5</f>
        <v>28721385.27</v>
      </c>
      <c r="AS5" s="23">
        <f>'C.1 Federal Expenditures'!AS5</f>
        <v>4754786.6500000004</v>
      </c>
      <c r="AT5" s="23">
        <f>'C.1 Federal Expenditures'!AT5</f>
        <v>14477758.07</v>
      </c>
      <c r="AU5" s="8"/>
      <c r="AV5" s="8"/>
      <c r="AW5" s="8"/>
      <c r="AX5" s="8"/>
      <c r="AY5" s="8"/>
      <c r="AZ5" s="8"/>
      <c r="BA5" s="8"/>
      <c r="BB5" s="8"/>
      <c r="BC5" s="8"/>
      <c r="BD5" s="8"/>
      <c r="BE5" s="8"/>
    </row>
    <row r="6" spans="1:57" x14ac:dyDescent="0.25">
      <c r="A6" s="33" t="s">
        <v>117</v>
      </c>
      <c r="B6" s="23">
        <f>'C.1 Federal Expenditures'!B6+'C.2 State Expenditures'!B6</f>
        <v>224676414.31999999</v>
      </c>
      <c r="C6" s="23">
        <f>'C.1 Federal Expenditures'!C6+'C.2 State Expenditures'!C6</f>
        <v>0</v>
      </c>
      <c r="D6" s="23">
        <f>'C.1 Federal Expenditures'!D6+'C.2 State Expenditures'!D6</f>
        <v>19940731</v>
      </c>
      <c r="E6" s="23">
        <f>'C.1 Federal Expenditures'!E6+'C.2 State Expenditures'!E6</f>
        <v>179466582</v>
      </c>
      <c r="F6" s="23">
        <f>'C.1 Federal Expenditures'!F6+'C.2 State Expenditures'!F6</f>
        <v>36485033</v>
      </c>
      <c r="G6" s="23">
        <f>'C.1 Federal Expenditures'!G6+'C.2 State Expenditures'!G6</f>
        <v>40017375.43</v>
      </c>
      <c r="H6" s="23">
        <f>'C.1 Federal Expenditures'!H6+'C.2 State Expenditures'!H6</f>
        <v>14421889.43</v>
      </c>
      <c r="I6" s="23">
        <f>'C.1 Federal Expenditures'!I6+'C.2 State Expenditures'!I6</f>
        <v>25595486</v>
      </c>
      <c r="J6" s="23">
        <f>'C.1 Federal Expenditures'!J6+'C.2 State Expenditures'!J6</f>
        <v>13372993</v>
      </c>
      <c r="K6" s="23">
        <f>'C.1 Federal Expenditures'!K6+'C.2 State Expenditures'!K6</f>
        <v>13372993</v>
      </c>
      <c r="L6" s="23">
        <f>'C.1 Federal Expenditures'!L6+'C.2 State Expenditures'!L6</f>
        <v>0</v>
      </c>
      <c r="M6" s="23">
        <f>'C.1 Federal Expenditures'!M6+'C.2 State Expenditures'!M6</f>
        <v>0</v>
      </c>
      <c r="N6" s="23">
        <f>'C.1 Federal Expenditures'!N6+'C.2 State Expenditures'!N6</f>
        <v>0</v>
      </c>
      <c r="O6" s="23">
        <f>'C.1 Federal Expenditures'!O6+'C.2 State Expenditures'!O6</f>
        <v>0</v>
      </c>
      <c r="P6" s="23">
        <f>'C.1 Federal Expenditures'!P6+'C.2 State Expenditures'!P6</f>
        <v>0</v>
      </c>
      <c r="Q6" s="23">
        <f>'C.1 Federal Expenditures'!Q6+'C.2 State Expenditures'!Q6</f>
        <v>0</v>
      </c>
      <c r="R6" s="23">
        <f>'C.1 Federal Expenditures'!R6+'C.2 State Expenditures'!R6</f>
        <v>108456</v>
      </c>
      <c r="S6" s="23">
        <f>'C.1 Federal Expenditures'!S6+'C.2 State Expenditures'!S6</f>
        <v>0</v>
      </c>
      <c r="T6" s="23">
        <f>'C.1 Federal Expenditures'!T6+'C.2 State Expenditures'!T6</f>
        <v>63812</v>
      </c>
      <c r="U6" s="23">
        <f>'C.1 Federal Expenditures'!U6+'C.2 State Expenditures'!U6</f>
        <v>44644</v>
      </c>
      <c r="V6" s="23">
        <f>'C.1 Federal Expenditures'!V6+'C.2 State Expenditures'!V6</f>
        <v>6361170.2999999998</v>
      </c>
      <c r="W6" s="23">
        <f>'C.1 Federal Expenditures'!W6+'C.2 State Expenditures'!W6</f>
        <v>0</v>
      </c>
      <c r="X6" s="23">
        <f>'C.1 Federal Expenditures'!X6+'C.2 State Expenditures'!X6</f>
        <v>0</v>
      </c>
      <c r="Y6" s="23">
        <f>'C.1 Federal Expenditures'!Y6+'C.2 State Expenditures'!Y6</f>
        <v>0</v>
      </c>
      <c r="Z6" s="23">
        <f>'C.1 Federal Expenditures'!Z6+'C.2 State Expenditures'!Z6</f>
        <v>0</v>
      </c>
      <c r="AA6" s="23">
        <f>'C.1 Federal Expenditures'!AA6+'C.2 State Expenditures'!AA6</f>
        <v>0</v>
      </c>
      <c r="AB6" s="23">
        <f>'C.1 Federal Expenditures'!AB6+'C.2 State Expenditures'!AB6</f>
        <v>0</v>
      </c>
      <c r="AC6" s="23">
        <f>'C.1 Federal Expenditures'!AC6+'C.2 State Expenditures'!AC6</f>
        <v>7850385.3899999997</v>
      </c>
      <c r="AD6" s="23">
        <f>'C.1 Federal Expenditures'!AD6+'C.2 State Expenditures'!AD6</f>
        <v>6509466</v>
      </c>
      <c r="AE6" s="23">
        <f>'C.1 Federal Expenditures'!AE6+'C.2 State Expenditures'!AE6</f>
        <v>0</v>
      </c>
      <c r="AF6" s="23">
        <f>'C.1 Federal Expenditures'!AF6+'C.2 State Expenditures'!AF6</f>
        <v>0</v>
      </c>
      <c r="AG6" s="23">
        <f>'C.1 Federal Expenditures'!AG6+'C.2 State Expenditures'!AG6</f>
        <v>0</v>
      </c>
      <c r="AH6" s="23">
        <f>'C.1 Federal Expenditures'!AH6+'C.2 State Expenditures'!AH6</f>
        <v>236959019</v>
      </c>
      <c r="AI6" s="23">
        <f>'C.1 Federal Expenditures'!AI6+'C.2 State Expenditures'!AI6</f>
        <v>117642508</v>
      </c>
      <c r="AJ6" s="23">
        <f>'C.1 Federal Expenditures'!AJ6+'C.2 State Expenditures'!AJ6</f>
        <v>5966653</v>
      </c>
      <c r="AK6" s="23">
        <f>'C.1 Federal Expenditures'!AK6+'C.2 State Expenditures'!AK6</f>
        <v>113349858</v>
      </c>
      <c r="AL6" s="23">
        <f>'C.1 Federal Expenditures'!AL6+'C.2 State Expenditures'!AL6</f>
        <v>0</v>
      </c>
      <c r="AM6" s="23">
        <f>'C.1 Federal Expenditures'!AM6+'C.2 State Expenditures'!AM6</f>
        <v>30310523.199999999</v>
      </c>
      <c r="AN6" s="23">
        <f>'C.1 Federal Expenditures'!AN6+'C.2 State Expenditures'!AN6</f>
        <v>10384559</v>
      </c>
      <c r="AO6" s="23">
        <f>'C.1 Federal Expenditures'!AO6+'C.2 State Expenditures'!AO6</f>
        <v>14326189.199999999</v>
      </c>
      <c r="AP6" s="23">
        <f>'C.1 Federal Expenditures'!AP6+'C.2 State Expenditures'!AP6</f>
        <v>5599775</v>
      </c>
      <c r="AQ6" s="23">
        <f>'C.1 Federal Expenditures'!AQ6+'C.2 State Expenditures'!AQ6</f>
        <v>0</v>
      </c>
      <c r="AR6" s="23">
        <f>'C.1 Federal Expenditures'!AR6+'C.2 State Expenditures'!AR6</f>
        <v>341489388.31999999</v>
      </c>
      <c r="AS6" s="23">
        <f>'C.1 Federal Expenditures'!AS6</f>
        <v>0</v>
      </c>
      <c r="AT6" s="23">
        <f>'C.1 Federal Expenditures'!AT6</f>
        <v>58358866</v>
      </c>
      <c r="AU6" s="8"/>
      <c r="AV6" s="8"/>
      <c r="AW6" s="8"/>
      <c r="AX6" s="8"/>
      <c r="AY6" s="8"/>
      <c r="AZ6" s="8"/>
      <c r="BA6" s="8"/>
      <c r="BB6" s="8"/>
      <c r="BC6" s="8"/>
      <c r="BD6" s="8"/>
      <c r="BE6" s="8"/>
    </row>
    <row r="7" spans="1:57" x14ac:dyDescent="0.25">
      <c r="A7" s="33" t="s">
        <v>118</v>
      </c>
      <c r="B7" s="23">
        <f>'C.1 Federal Expenditures'!B7+'C.2 State Expenditures'!B7</f>
        <v>62991053.340000004</v>
      </c>
      <c r="C7" s="23">
        <f>'C.1 Federal Expenditures'!C7+'C.2 State Expenditures'!C7</f>
        <v>0</v>
      </c>
      <c r="D7" s="23">
        <f>'C.1 Federal Expenditures'!D7+'C.2 State Expenditures'!D7</f>
        <v>0</v>
      </c>
      <c r="E7" s="23">
        <f>'C.1 Federal Expenditures'!E7+'C.2 State Expenditures'!E7</f>
        <v>56545640</v>
      </c>
      <c r="F7" s="23">
        <f>'C.1 Federal Expenditures'!F7+'C.2 State Expenditures'!F7</f>
        <v>74209845.710000008</v>
      </c>
      <c r="G7" s="23">
        <f>'C.1 Federal Expenditures'!G7+'C.2 State Expenditures'!G7</f>
        <v>2434783.67</v>
      </c>
      <c r="H7" s="23">
        <f>'C.1 Federal Expenditures'!H7+'C.2 State Expenditures'!H7</f>
        <v>2434783.67</v>
      </c>
      <c r="I7" s="23">
        <f>'C.1 Federal Expenditures'!I7+'C.2 State Expenditures'!I7</f>
        <v>0</v>
      </c>
      <c r="J7" s="23">
        <f>'C.1 Federal Expenditures'!J7+'C.2 State Expenditures'!J7</f>
        <v>0</v>
      </c>
      <c r="K7" s="23">
        <f>'C.1 Federal Expenditures'!K7+'C.2 State Expenditures'!K7</f>
        <v>0</v>
      </c>
      <c r="L7" s="23">
        <f>'C.1 Federal Expenditures'!L7+'C.2 State Expenditures'!L7</f>
        <v>0</v>
      </c>
      <c r="M7" s="23">
        <f>'C.1 Federal Expenditures'!M7+'C.2 State Expenditures'!M7</f>
        <v>0</v>
      </c>
      <c r="N7" s="23">
        <f>'C.1 Federal Expenditures'!N7+'C.2 State Expenditures'!N7</f>
        <v>4518036.57</v>
      </c>
      <c r="O7" s="23">
        <f>'C.1 Federal Expenditures'!O7+'C.2 State Expenditures'!O7</f>
        <v>2152351.91</v>
      </c>
      <c r="P7" s="23">
        <f>'C.1 Federal Expenditures'!P7+'C.2 State Expenditures'!P7</f>
        <v>0</v>
      </c>
      <c r="Q7" s="23">
        <f>'C.1 Federal Expenditures'!Q7+'C.2 State Expenditures'!Q7</f>
        <v>2365684.66</v>
      </c>
      <c r="R7" s="23">
        <f>'C.1 Federal Expenditures'!R7+'C.2 State Expenditures'!R7</f>
        <v>14136247.23</v>
      </c>
      <c r="S7" s="23">
        <f>'C.1 Federal Expenditures'!S7+'C.2 State Expenditures'!S7</f>
        <v>932065.8</v>
      </c>
      <c r="T7" s="23">
        <f>'C.1 Federal Expenditures'!T7+'C.2 State Expenditures'!T7</f>
        <v>12720407.15</v>
      </c>
      <c r="U7" s="23">
        <f>'C.1 Federal Expenditures'!U7+'C.2 State Expenditures'!U7</f>
        <v>483774.28</v>
      </c>
      <c r="V7" s="23">
        <f>'C.1 Federal Expenditures'!V7+'C.2 State Expenditures'!V7</f>
        <v>135319.51</v>
      </c>
      <c r="W7" s="23">
        <f>'C.1 Federal Expenditures'!W7+'C.2 State Expenditures'!W7</f>
        <v>38164534.409999996</v>
      </c>
      <c r="X7" s="23">
        <f>'C.1 Federal Expenditures'!X7+'C.2 State Expenditures'!X7</f>
        <v>2382.33</v>
      </c>
      <c r="Y7" s="23">
        <f>'C.1 Federal Expenditures'!Y7+'C.2 State Expenditures'!Y7</f>
        <v>38162152.079999998</v>
      </c>
      <c r="Z7" s="23">
        <f>'C.1 Federal Expenditures'!Z7+'C.2 State Expenditures'!Z7</f>
        <v>354200.55000000005</v>
      </c>
      <c r="AA7" s="23">
        <f>'C.1 Federal Expenditures'!AA7+'C.2 State Expenditures'!AA7</f>
        <v>0</v>
      </c>
      <c r="AB7" s="23">
        <f>'C.1 Federal Expenditures'!AB7+'C.2 State Expenditures'!AB7</f>
        <v>0</v>
      </c>
      <c r="AC7" s="23">
        <f>'C.1 Federal Expenditures'!AC7+'C.2 State Expenditures'!AC7</f>
        <v>891786.43</v>
      </c>
      <c r="AD7" s="23">
        <f>'C.1 Federal Expenditures'!AD7+'C.2 State Expenditures'!AD7</f>
        <v>265828.96999999997</v>
      </c>
      <c r="AE7" s="23">
        <f>'C.1 Federal Expenditures'!AE7+'C.2 State Expenditures'!AE7</f>
        <v>4140841.0700000003</v>
      </c>
      <c r="AF7" s="23">
        <f>'C.1 Federal Expenditures'!AF7+'C.2 State Expenditures'!AF7</f>
        <v>0</v>
      </c>
      <c r="AG7" s="23">
        <f>'C.1 Federal Expenditures'!AG7+'C.2 State Expenditures'!AG7</f>
        <v>2740068.38</v>
      </c>
      <c r="AH7" s="23">
        <f>'C.1 Federal Expenditures'!AH7+'C.2 State Expenditures'!AH7</f>
        <v>36962860.260000005</v>
      </c>
      <c r="AI7" s="23">
        <f>'C.1 Federal Expenditures'!AI7+'C.2 State Expenditures'!AI7</f>
        <v>13113698.710000001</v>
      </c>
      <c r="AJ7" s="23">
        <f>'C.1 Federal Expenditures'!AJ7+'C.2 State Expenditures'!AJ7</f>
        <v>2232544.31</v>
      </c>
      <c r="AK7" s="23">
        <f>'C.1 Federal Expenditures'!AK7+'C.2 State Expenditures'!AK7</f>
        <v>21616617.240000002</v>
      </c>
      <c r="AL7" s="23">
        <f>'C.1 Federal Expenditures'!AL7+'C.2 State Expenditures'!AL7</f>
        <v>10795.5</v>
      </c>
      <c r="AM7" s="23">
        <f>'C.1 Federal Expenditures'!AM7+'C.2 State Expenditures'!AM7</f>
        <v>25318350.25</v>
      </c>
      <c r="AN7" s="23">
        <f>'C.1 Federal Expenditures'!AN7+'C.2 State Expenditures'!AN7</f>
        <v>18017739.870000001</v>
      </c>
      <c r="AO7" s="23">
        <f>'C.1 Federal Expenditures'!AO7+'C.2 State Expenditures'!AO7</f>
        <v>4301382.8899999997</v>
      </c>
      <c r="AP7" s="23">
        <f>'C.1 Federal Expenditures'!AP7+'C.2 State Expenditures'!AP7</f>
        <v>2999227.49</v>
      </c>
      <c r="AQ7" s="23">
        <f>'C.1 Federal Expenditures'!AQ7+'C.2 State Expenditures'!AQ7</f>
        <v>0</v>
      </c>
      <c r="AR7" s="23">
        <f>'C.1 Federal Expenditures'!AR7+'C.2 State Expenditures'!AR7</f>
        <v>130073652.79000001</v>
      </c>
      <c r="AS7" s="23">
        <f>'C.1 Federal Expenditures'!AS7</f>
        <v>0</v>
      </c>
      <c r="AT7" s="23">
        <f>'C.1 Federal Expenditures'!AT7</f>
        <v>42384477.25</v>
      </c>
      <c r="AU7" s="8"/>
      <c r="AV7" s="8"/>
      <c r="AW7" s="8"/>
      <c r="AX7" s="8"/>
      <c r="AY7" s="8"/>
      <c r="AZ7" s="8"/>
      <c r="BA7" s="8"/>
      <c r="BB7" s="8"/>
      <c r="BC7" s="8"/>
      <c r="BD7" s="8"/>
      <c r="BE7" s="8"/>
    </row>
    <row r="8" spans="1:57" x14ac:dyDescent="0.25">
      <c r="A8" s="33" t="s">
        <v>119</v>
      </c>
      <c r="B8" s="23">
        <f>'C.1 Federal Expenditures'!B8+'C.2 State Expenditures'!B8</f>
        <v>3634115206</v>
      </c>
      <c r="C8" s="23">
        <f>'C.1 Federal Expenditures'!C8+'C.2 State Expenditures'!C8</f>
        <v>0</v>
      </c>
      <c r="D8" s="23">
        <f>'C.1 Federal Expenditures'!D8+'C.2 State Expenditures'!D8</f>
        <v>348723522</v>
      </c>
      <c r="E8" s="23">
        <f>'C.1 Federal Expenditures'!E8+'C.2 State Expenditures'!E8</f>
        <v>3285391684</v>
      </c>
      <c r="F8" s="23">
        <f>'C.1 Federal Expenditures'!F8+'C.2 State Expenditures'!F8</f>
        <v>382141886.50999999</v>
      </c>
      <c r="G8" s="23">
        <f>'C.1 Federal Expenditures'!G8+'C.2 State Expenditures'!G8</f>
        <v>3908497323.4299998</v>
      </c>
      <c r="H8" s="23">
        <f>'C.1 Federal Expenditures'!H8+'C.2 State Expenditures'!H8</f>
        <v>3742540224.3600001</v>
      </c>
      <c r="I8" s="23">
        <f>'C.1 Federal Expenditures'!I8+'C.2 State Expenditures'!I8</f>
        <v>165957099.06999999</v>
      </c>
      <c r="J8" s="23">
        <f>'C.1 Federal Expenditures'!J8+'C.2 State Expenditures'!J8</f>
        <v>216253824</v>
      </c>
      <c r="K8" s="23">
        <f>'C.1 Federal Expenditures'!K8+'C.2 State Expenditures'!K8</f>
        <v>0</v>
      </c>
      <c r="L8" s="23">
        <f>'C.1 Federal Expenditures'!L8+'C.2 State Expenditures'!L8</f>
        <v>0</v>
      </c>
      <c r="M8" s="23">
        <f>'C.1 Federal Expenditures'!M8+'C.2 State Expenditures'!M8</f>
        <v>216253824</v>
      </c>
      <c r="N8" s="23">
        <f>'C.1 Federal Expenditures'!N8+'C.2 State Expenditures'!N8</f>
        <v>0</v>
      </c>
      <c r="O8" s="23">
        <f>'C.1 Federal Expenditures'!O8+'C.2 State Expenditures'!O8</f>
        <v>0</v>
      </c>
      <c r="P8" s="23">
        <f>'C.1 Federal Expenditures'!P8+'C.2 State Expenditures'!P8</f>
        <v>0</v>
      </c>
      <c r="Q8" s="23">
        <f>'C.1 Federal Expenditures'!Q8+'C.2 State Expenditures'!Q8</f>
        <v>0</v>
      </c>
      <c r="R8" s="23">
        <f>'C.1 Federal Expenditures'!R8+'C.2 State Expenditures'!R8</f>
        <v>1152717635.79</v>
      </c>
      <c r="S8" s="23">
        <f>'C.1 Federal Expenditures'!S8+'C.2 State Expenditures'!S8</f>
        <v>38507593.130000003</v>
      </c>
      <c r="T8" s="23">
        <f>'C.1 Federal Expenditures'!T8+'C.2 State Expenditures'!T8</f>
        <v>488298376.41999996</v>
      </c>
      <c r="U8" s="23">
        <f>'C.1 Federal Expenditures'!U8+'C.2 State Expenditures'!U8</f>
        <v>625911666.24000001</v>
      </c>
      <c r="V8" s="23">
        <f>'C.1 Federal Expenditures'!V8+'C.2 State Expenditures'!V8</f>
        <v>227997125.82999998</v>
      </c>
      <c r="W8" s="23">
        <f>'C.1 Federal Expenditures'!W8+'C.2 State Expenditures'!W8</f>
        <v>1295568347.3299999</v>
      </c>
      <c r="X8" s="23">
        <f>'C.1 Federal Expenditures'!X8+'C.2 State Expenditures'!X8</f>
        <v>1295544669.9499998</v>
      </c>
      <c r="Y8" s="23">
        <f>'C.1 Federal Expenditures'!Y8+'C.2 State Expenditures'!Y8</f>
        <v>23677.39</v>
      </c>
      <c r="Z8" s="23">
        <f>'C.1 Federal Expenditures'!Z8+'C.2 State Expenditures'!Z8</f>
        <v>27091.02</v>
      </c>
      <c r="AA8" s="23">
        <f>'C.1 Federal Expenditures'!AA8+'C.2 State Expenditures'!AA8</f>
        <v>0</v>
      </c>
      <c r="AB8" s="23">
        <f>'C.1 Federal Expenditures'!AB8+'C.2 State Expenditures'!AB8</f>
        <v>0</v>
      </c>
      <c r="AC8" s="23">
        <f>'C.1 Federal Expenditures'!AC8+'C.2 State Expenditures'!AC8</f>
        <v>560104.37</v>
      </c>
      <c r="AD8" s="23">
        <f>'C.1 Federal Expenditures'!AD8+'C.2 State Expenditures'!AD8</f>
        <v>111728043.83999999</v>
      </c>
      <c r="AE8" s="23">
        <f>'C.1 Federal Expenditures'!AE8+'C.2 State Expenditures'!AE8</f>
        <v>916098.97</v>
      </c>
      <c r="AF8" s="23">
        <f>'C.1 Federal Expenditures'!AF8+'C.2 State Expenditures'!AF8</f>
        <v>31830667.740000002</v>
      </c>
      <c r="AG8" s="23">
        <f>'C.1 Federal Expenditures'!AG8+'C.2 State Expenditures'!AG8</f>
        <v>2004061.55</v>
      </c>
      <c r="AH8" s="23">
        <f>'C.1 Federal Expenditures'!AH8+'C.2 State Expenditures'!AH8</f>
        <v>88.5</v>
      </c>
      <c r="AI8" s="23">
        <f>'C.1 Federal Expenditures'!AI8+'C.2 State Expenditures'!AI8</f>
        <v>88.5</v>
      </c>
      <c r="AJ8" s="23">
        <f>'C.1 Federal Expenditures'!AJ8+'C.2 State Expenditures'!AJ8</f>
        <v>0</v>
      </c>
      <c r="AK8" s="23">
        <f>'C.1 Federal Expenditures'!AK8+'C.2 State Expenditures'!AK8</f>
        <v>0</v>
      </c>
      <c r="AL8" s="23">
        <f>'C.1 Federal Expenditures'!AL8+'C.2 State Expenditures'!AL8</f>
        <v>56409846</v>
      </c>
      <c r="AM8" s="23">
        <f>'C.1 Federal Expenditures'!AM8+'C.2 State Expenditures'!AM8</f>
        <v>1012038703.11</v>
      </c>
      <c r="AN8" s="23">
        <f>'C.1 Federal Expenditures'!AN8+'C.2 State Expenditures'!AN8</f>
        <v>785632719.31000006</v>
      </c>
      <c r="AO8" s="23">
        <f>'C.1 Federal Expenditures'!AO8+'C.2 State Expenditures'!AO8</f>
        <v>188352810.03999999</v>
      </c>
      <c r="AP8" s="23">
        <f>'C.1 Federal Expenditures'!AP8+'C.2 State Expenditures'!AP8</f>
        <v>38053173.759999998</v>
      </c>
      <c r="AQ8" s="23">
        <f>'C.1 Federal Expenditures'!AQ8+'C.2 State Expenditures'!AQ8</f>
        <v>1630.65</v>
      </c>
      <c r="AR8" s="23">
        <f>'C.1 Federal Expenditures'!AR8+'C.2 State Expenditures'!AR8</f>
        <v>8016550592.1400003</v>
      </c>
      <c r="AS8" s="23">
        <f>'C.1 Federal Expenditures'!AS8</f>
        <v>280868795.37</v>
      </c>
      <c r="AT8" s="23">
        <f>'C.1 Federal Expenditures'!AT8</f>
        <v>0</v>
      </c>
      <c r="AU8" s="8"/>
      <c r="AV8" s="8"/>
      <c r="AW8" s="8"/>
      <c r="AX8" s="8"/>
      <c r="AY8" s="8"/>
      <c r="AZ8" s="8"/>
      <c r="BA8" s="8"/>
      <c r="BB8" s="8"/>
      <c r="BC8" s="8"/>
      <c r="BD8" s="8"/>
      <c r="BE8" s="8"/>
    </row>
    <row r="9" spans="1:57" x14ac:dyDescent="0.25">
      <c r="A9" s="33" t="s">
        <v>120</v>
      </c>
      <c r="B9" s="23">
        <f>'C.1 Federal Expenditures'!B9+'C.2 State Expenditures'!B9</f>
        <v>151065085.31</v>
      </c>
      <c r="C9" s="23">
        <f>'C.1 Federal Expenditures'!C9+'C.2 State Expenditures'!C9</f>
        <v>896113.01</v>
      </c>
      <c r="D9" s="23">
        <f>'C.1 Federal Expenditures'!D9+'C.2 State Expenditures'!D9</f>
        <v>3066924.25</v>
      </c>
      <c r="E9" s="23">
        <f>'C.1 Federal Expenditures'!E9+'C.2 State Expenditures'!E9</f>
        <v>131644665.73999999</v>
      </c>
      <c r="F9" s="23">
        <f>'C.1 Federal Expenditures'!F9+'C.2 State Expenditures'!F9</f>
        <v>109301355.81</v>
      </c>
      <c r="G9" s="23">
        <f>'C.1 Federal Expenditures'!G9+'C.2 State Expenditures'!G9</f>
        <v>69699677.550000012</v>
      </c>
      <c r="H9" s="23">
        <f>'C.1 Federal Expenditures'!H9+'C.2 State Expenditures'!H9</f>
        <v>69699677.550000012</v>
      </c>
      <c r="I9" s="23">
        <f>'C.1 Federal Expenditures'!I9+'C.2 State Expenditures'!I9</f>
        <v>0</v>
      </c>
      <c r="J9" s="23">
        <f>'C.1 Federal Expenditures'!J9+'C.2 State Expenditures'!J9</f>
        <v>0</v>
      </c>
      <c r="K9" s="23">
        <f>'C.1 Federal Expenditures'!K9+'C.2 State Expenditures'!K9</f>
        <v>0</v>
      </c>
      <c r="L9" s="23">
        <f>'C.1 Federal Expenditures'!L9+'C.2 State Expenditures'!L9</f>
        <v>0</v>
      </c>
      <c r="M9" s="23">
        <f>'C.1 Federal Expenditures'!M9+'C.2 State Expenditures'!M9</f>
        <v>0</v>
      </c>
      <c r="N9" s="23">
        <f>'C.1 Federal Expenditures'!N9+'C.2 State Expenditures'!N9</f>
        <v>0</v>
      </c>
      <c r="O9" s="23">
        <f>'C.1 Federal Expenditures'!O9+'C.2 State Expenditures'!O9</f>
        <v>0</v>
      </c>
      <c r="P9" s="23">
        <f>'C.1 Federal Expenditures'!P9+'C.2 State Expenditures'!P9</f>
        <v>0</v>
      </c>
      <c r="Q9" s="23">
        <f>'C.1 Federal Expenditures'!Q9+'C.2 State Expenditures'!Q9</f>
        <v>0</v>
      </c>
      <c r="R9" s="23">
        <f>'C.1 Federal Expenditures'!R9+'C.2 State Expenditures'!R9</f>
        <v>7208617.0899999999</v>
      </c>
      <c r="S9" s="23">
        <f>'C.1 Federal Expenditures'!S9+'C.2 State Expenditures'!S9</f>
        <v>1533894.52</v>
      </c>
      <c r="T9" s="23">
        <f>'C.1 Federal Expenditures'!T9+'C.2 State Expenditures'!T9</f>
        <v>3418829.46</v>
      </c>
      <c r="U9" s="23">
        <f>'C.1 Federal Expenditures'!U9+'C.2 State Expenditures'!U9</f>
        <v>2255893.12</v>
      </c>
      <c r="V9" s="23">
        <f>'C.1 Federal Expenditures'!V9+'C.2 State Expenditures'!V9</f>
        <v>6069867.2999999998</v>
      </c>
      <c r="W9" s="23">
        <f>'C.1 Federal Expenditures'!W9+'C.2 State Expenditures'!W9</f>
        <v>163011740.84</v>
      </c>
      <c r="X9" s="23">
        <f>'C.1 Federal Expenditures'!X9+'C.2 State Expenditures'!X9</f>
        <v>15540363.84</v>
      </c>
      <c r="Y9" s="23">
        <f>'C.1 Federal Expenditures'!Y9+'C.2 State Expenditures'!Y9</f>
        <v>147471377</v>
      </c>
      <c r="Z9" s="23">
        <f>'C.1 Federal Expenditures'!Z9+'C.2 State Expenditures'!Z9</f>
        <v>27198.73</v>
      </c>
      <c r="AA9" s="23">
        <f>'C.1 Federal Expenditures'!AA9+'C.2 State Expenditures'!AA9</f>
        <v>127014431</v>
      </c>
      <c r="AB9" s="23">
        <f>'C.1 Federal Expenditures'!AB9+'C.2 State Expenditures'!AB9</f>
        <v>6117164</v>
      </c>
      <c r="AC9" s="23">
        <f>'C.1 Federal Expenditures'!AC9+'C.2 State Expenditures'!AC9</f>
        <v>7271082.0700000003</v>
      </c>
      <c r="AD9" s="23">
        <f>'C.1 Federal Expenditures'!AD9+'C.2 State Expenditures'!AD9</f>
        <v>4922015.8499999996</v>
      </c>
      <c r="AE9" s="23">
        <f>'C.1 Federal Expenditures'!AE9+'C.2 State Expenditures'!AE9</f>
        <v>794644.71</v>
      </c>
      <c r="AF9" s="23">
        <f>'C.1 Federal Expenditures'!AF9+'C.2 State Expenditures'!AF9</f>
        <v>466479.38</v>
      </c>
      <c r="AG9" s="23">
        <f>'C.1 Federal Expenditures'!AG9+'C.2 State Expenditures'!AG9</f>
        <v>696246.39</v>
      </c>
      <c r="AH9" s="23">
        <f>'C.1 Federal Expenditures'!AH9+'C.2 State Expenditures'!AH9</f>
        <v>32766356.599999998</v>
      </c>
      <c r="AI9" s="23">
        <f>'C.1 Federal Expenditures'!AI9+'C.2 State Expenditures'!AI9</f>
        <v>12888998.469999999</v>
      </c>
      <c r="AJ9" s="23">
        <f>'C.1 Federal Expenditures'!AJ9+'C.2 State Expenditures'!AJ9</f>
        <v>0</v>
      </c>
      <c r="AK9" s="23">
        <f>'C.1 Federal Expenditures'!AK9+'C.2 State Expenditures'!AK9</f>
        <v>19877358.129999999</v>
      </c>
      <c r="AL9" s="23">
        <f>'C.1 Federal Expenditures'!AL9+'C.2 State Expenditures'!AL9</f>
        <v>907519.23</v>
      </c>
      <c r="AM9" s="23">
        <f>'C.1 Federal Expenditures'!AM9+'C.2 State Expenditures'!AM9</f>
        <v>127413786.38</v>
      </c>
      <c r="AN9" s="23">
        <f>'C.1 Federal Expenditures'!AN9+'C.2 State Expenditures'!AN9</f>
        <v>41537475.200000003</v>
      </c>
      <c r="AO9" s="23">
        <f>'C.1 Federal Expenditures'!AO9+'C.2 State Expenditures'!AO9</f>
        <v>47252793.639999993</v>
      </c>
      <c r="AP9" s="23">
        <f>'C.1 Federal Expenditures'!AP9+'C.2 State Expenditures'!AP9</f>
        <v>38623517.549999997</v>
      </c>
      <c r="AQ9" s="23">
        <f>'C.1 Federal Expenditures'!AQ9+'C.2 State Expenditures'!AQ9</f>
        <v>0</v>
      </c>
      <c r="AR9" s="23">
        <f>'C.1 Federal Expenditures'!AR9+'C.2 State Expenditures'!AR9</f>
        <v>554386827.12</v>
      </c>
      <c r="AS9" s="23">
        <f>'C.1 Federal Expenditures'!AS9</f>
        <v>0</v>
      </c>
      <c r="AT9" s="23">
        <f>'C.1 Federal Expenditures'!AT9</f>
        <v>86106323.920000002</v>
      </c>
      <c r="AU9" s="8"/>
      <c r="AV9" s="8"/>
      <c r="AW9" s="8"/>
      <c r="AX9" s="8"/>
      <c r="AY9" s="8"/>
      <c r="AZ9" s="8"/>
      <c r="BA9" s="8"/>
      <c r="BB9" s="8"/>
      <c r="BC9" s="8"/>
      <c r="BD9" s="8"/>
      <c r="BE9" s="8"/>
    </row>
    <row r="10" spans="1:57" x14ac:dyDescent="0.25">
      <c r="A10" s="33" t="s">
        <v>121</v>
      </c>
      <c r="B10" s="23">
        <f>'C.1 Federal Expenditures'!B10+'C.2 State Expenditures'!B10</f>
        <v>265907706</v>
      </c>
      <c r="C10" s="23">
        <f>'C.1 Federal Expenditures'!C10+'C.2 State Expenditures'!C10</f>
        <v>26678810</v>
      </c>
      <c r="D10" s="23">
        <f>'C.1 Federal Expenditures'!D10+'C.2 State Expenditures'!D10</f>
        <v>0</v>
      </c>
      <c r="E10" s="23">
        <f>'C.1 Federal Expenditures'!E10+'C.2 State Expenditures'!E10</f>
        <v>239228896</v>
      </c>
      <c r="F10" s="23">
        <f>'C.1 Federal Expenditures'!F10+'C.2 State Expenditures'!F10</f>
        <v>0</v>
      </c>
      <c r="G10" s="23">
        <f>'C.1 Federal Expenditures'!G10+'C.2 State Expenditures'!G10</f>
        <v>42471684.659999996</v>
      </c>
      <c r="H10" s="23">
        <f>'C.1 Federal Expenditures'!H10+'C.2 State Expenditures'!H10</f>
        <v>42471684.659999996</v>
      </c>
      <c r="I10" s="23">
        <f>'C.1 Federal Expenditures'!I10+'C.2 State Expenditures'!I10</f>
        <v>0</v>
      </c>
      <c r="J10" s="23">
        <f>'C.1 Federal Expenditures'!J10+'C.2 State Expenditures'!J10</f>
        <v>0</v>
      </c>
      <c r="K10" s="23">
        <f>'C.1 Federal Expenditures'!K10+'C.2 State Expenditures'!K10</f>
        <v>0</v>
      </c>
      <c r="L10" s="23">
        <f>'C.1 Federal Expenditures'!L10+'C.2 State Expenditures'!L10</f>
        <v>0</v>
      </c>
      <c r="M10" s="23">
        <f>'C.1 Federal Expenditures'!M10+'C.2 State Expenditures'!M10</f>
        <v>0</v>
      </c>
      <c r="N10" s="23">
        <f>'C.1 Federal Expenditures'!N10+'C.2 State Expenditures'!N10</f>
        <v>20067923.219999999</v>
      </c>
      <c r="O10" s="23">
        <f>'C.1 Federal Expenditures'!O10+'C.2 State Expenditures'!O10</f>
        <v>0</v>
      </c>
      <c r="P10" s="23">
        <f>'C.1 Federal Expenditures'!P10+'C.2 State Expenditures'!P10</f>
        <v>0</v>
      </c>
      <c r="Q10" s="23">
        <f>'C.1 Federal Expenditures'!Q10+'C.2 State Expenditures'!Q10</f>
        <v>20067923.219999999</v>
      </c>
      <c r="R10" s="23">
        <f>'C.1 Federal Expenditures'!R10+'C.2 State Expenditures'!R10</f>
        <v>12836312.51</v>
      </c>
      <c r="S10" s="23">
        <f>'C.1 Federal Expenditures'!S10+'C.2 State Expenditures'!S10</f>
        <v>0</v>
      </c>
      <c r="T10" s="23">
        <f>'C.1 Federal Expenditures'!T10+'C.2 State Expenditures'!T10</f>
        <v>12836312.51</v>
      </c>
      <c r="U10" s="23">
        <f>'C.1 Federal Expenditures'!U10+'C.2 State Expenditures'!U10</f>
        <v>0</v>
      </c>
      <c r="V10" s="23">
        <f>'C.1 Federal Expenditures'!V10+'C.2 State Expenditures'!V10</f>
        <v>0</v>
      </c>
      <c r="W10" s="23">
        <f>'C.1 Federal Expenditures'!W10+'C.2 State Expenditures'!W10</f>
        <v>98289223.939999998</v>
      </c>
      <c r="X10" s="23">
        <f>'C.1 Federal Expenditures'!X10+'C.2 State Expenditures'!X10</f>
        <v>41352054.359999999</v>
      </c>
      <c r="Y10" s="23">
        <f>'C.1 Federal Expenditures'!Y10+'C.2 State Expenditures'!Y10</f>
        <v>56937169.579999998</v>
      </c>
      <c r="Z10" s="23">
        <f>'C.1 Federal Expenditures'!Z10+'C.2 State Expenditures'!Z10</f>
        <v>0</v>
      </c>
      <c r="AA10" s="23">
        <f>'C.1 Federal Expenditures'!AA10+'C.2 State Expenditures'!AA10</f>
        <v>123962140</v>
      </c>
      <c r="AB10" s="23">
        <f>'C.1 Federal Expenditures'!AB10+'C.2 State Expenditures'!AB10</f>
        <v>0</v>
      </c>
      <c r="AC10" s="23">
        <f>'C.1 Federal Expenditures'!AC10+'C.2 State Expenditures'!AC10</f>
        <v>0</v>
      </c>
      <c r="AD10" s="23">
        <f>'C.1 Federal Expenditures'!AD10+'C.2 State Expenditures'!AD10</f>
        <v>23849470.07</v>
      </c>
      <c r="AE10" s="23">
        <f>'C.1 Federal Expenditures'!AE10+'C.2 State Expenditures'!AE10</f>
        <v>0</v>
      </c>
      <c r="AF10" s="23">
        <f>'C.1 Federal Expenditures'!AF10+'C.2 State Expenditures'!AF10</f>
        <v>38596484.649999999</v>
      </c>
      <c r="AG10" s="23">
        <f>'C.1 Federal Expenditures'!AG10+'C.2 State Expenditures'!AG10</f>
        <v>18245364.57</v>
      </c>
      <c r="AH10" s="23">
        <f>'C.1 Federal Expenditures'!AH10+'C.2 State Expenditures'!AH10</f>
        <v>77561432.790000007</v>
      </c>
      <c r="AI10" s="23">
        <f>'C.1 Federal Expenditures'!AI10+'C.2 State Expenditures'!AI10</f>
        <v>77561432.790000007</v>
      </c>
      <c r="AJ10" s="23">
        <f>'C.1 Federal Expenditures'!AJ10+'C.2 State Expenditures'!AJ10</f>
        <v>0</v>
      </c>
      <c r="AK10" s="23">
        <f>'C.1 Federal Expenditures'!AK10+'C.2 State Expenditures'!AK10</f>
        <v>0</v>
      </c>
      <c r="AL10" s="23">
        <f>'C.1 Federal Expenditures'!AL10+'C.2 State Expenditures'!AL10</f>
        <v>0</v>
      </c>
      <c r="AM10" s="23">
        <f>'C.1 Federal Expenditures'!AM10+'C.2 State Expenditures'!AM10</f>
        <v>84751514.409999996</v>
      </c>
      <c r="AN10" s="23">
        <f>'C.1 Federal Expenditures'!AN10+'C.2 State Expenditures'!AN10</f>
        <v>36830933.109999999</v>
      </c>
      <c r="AO10" s="23">
        <f>'C.1 Federal Expenditures'!AO10+'C.2 State Expenditures'!AO10</f>
        <v>47208773.710000001</v>
      </c>
      <c r="AP10" s="23">
        <f>'C.1 Federal Expenditures'!AP10+'C.2 State Expenditures'!AP10</f>
        <v>711807.6</v>
      </c>
      <c r="AQ10" s="23">
        <f>'C.1 Federal Expenditures'!AQ10+'C.2 State Expenditures'!AQ10</f>
        <v>0</v>
      </c>
      <c r="AR10" s="23">
        <f>'C.1 Federal Expenditures'!AR10+'C.2 State Expenditures'!AR10</f>
        <v>540631550.80999994</v>
      </c>
      <c r="AS10" s="23">
        <f>'C.1 Federal Expenditures'!AS10</f>
        <v>0</v>
      </c>
      <c r="AT10" s="23">
        <f>'C.1 Federal Expenditures'!AT10</f>
        <v>0</v>
      </c>
      <c r="AU10" s="8"/>
      <c r="AV10" s="8"/>
      <c r="AW10" s="8"/>
      <c r="AX10" s="8"/>
      <c r="AY10" s="8"/>
      <c r="AZ10" s="8"/>
      <c r="BA10" s="8"/>
      <c r="BB10" s="8"/>
      <c r="BC10" s="8"/>
      <c r="BD10" s="8"/>
      <c r="BE10" s="8"/>
    </row>
    <row r="11" spans="1:57" x14ac:dyDescent="0.25">
      <c r="A11" s="33" t="s">
        <v>122</v>
      </c>
      <c r="B11" s="23">
        <f>'C.1 Federal Expenditures'!B11+'C.2 State Expenditures'!B11</f>
        <v>35852994.210000001</v>
      </c>
      <c r="C11" s="23">
        <f>'C.1 Federal Expenditures'!C11+'C.2 State Expenditures'!C11</f>
        <v>0</v>
      </c>
      <c r="D11" s="23">
        <f>'C.1 Federal Expenditures'!D11+'C.2 State Expenditures'!D11</f>
        <v>0</v>
      </c>
      <c r="E11" s="23">
        <f>'C.1 Federal Expenditures'!E11+'C.2 State Expenditures'!E11</f>
        <v>32184421</v>
      </c>
      <c r="F11" s="23">
        <f>'C.1 Federal Expenditures'!F11+'C.2 State Expenditures'!F11</f>
        <v>23079052.669999998</v>
      </c>
      <c r="G11" s="23">
        <f>'C.1 Federal Expenditures'!G11+'C.2 State Expenditures'!G11</f>
        <v>5754067.3499999996</v>
      </c>
      <c r="H11" s="23">
        <f>'C.1 Federal Expenditures'!H11+'C.2 State Expenditures'!H11</f>
        <v>5754067.3499999996</v>
      </c>
      <c r="I11" s="23">
        <f>'C.1 Federal Expenditures'!I11+'C.2 State Expenditures'!I11</f>
        <v>0</v>
      </c>
      <c r="J11" s="23">
        <f>'C.1 Federal Expenditures'!J11+'C.2 State Expenditures'!J11</f>
        <v>0</v>
      </c>
      <c r="K11" s="23">
        <f>'C.1 Federal Expenditures'!K11+'C.2 State Expenditures'!K11</f>
        <v>0</v>
      </c>
      <c r="L11" s="23">
        <f>'C.1 Federal Expenditures'!L11+'C.2 State Expenditures'!L11</f>
        <v>0</v>
      </c>
      <c r="M11" s="23">
        <f>'C.1 Federal Expenditures'!M11+'C.2 State Expenditures'!M11</f>
        <v>0</v>
      </c>
      <c r="N11" s="23">
        <f>'C.1 Federal Expenditures'!N11+'C.2 State Expenditures'!N11</f>
        <v>0</v>
      </c>
      <c r="O11" s="23">
        <f>'C.1 Federal Expenditures'!O11+'C.2 State Expenditures'!O11</f>
        <v>0</v>
      </c>
      <c r="P11" s="23">
        <f>'C.1 Federal Expenditures'!P11+'C.2 State Expenditures'!P11</f>
        <v>0</v>
      </c>
      <c r="Q11" s="23">
        <f>'C.1 Federal Expenditures'!Q11+'C.2 State Expenditures'!Q11</f>
        <v>0</v>
      </c>
      <c r="R11" s="23">
        <f>'C.1 Federal Expenditures'!R11+'C.2 State Expenditures'!R11</f>
        <v>9481838.9499999993</v>
      </c>
      <c r="S11" s="23">
        <f>'C.1 Federal Expenditures'!S11+'C.2 State Expenditures'!S11</f>
        <v>6497477.4699999997</v>
      </c>
      <c r="T11" s="23">
        <f>'C.1 Federal Expenditures'!T11+'C.2 State Expenditures'!T11</f>
        <v>2916310.49</v>
      </c>
      <c r="U11" s="23">
        <f>'C.1 Federal Expenditures'!U11+'C.2 State Expenditures'!U11</f>
        <v>68051</v>
      </c>
      <c r="V11" s="23">
        <f>'C.1 Federal Expenditures'!V11+'C.2 State Expenditures'!V11</f>
        <v>268374.03999999998</v>
      </c>
      <c r="W11" s="23">
        <f>'C.1 Federal Expenditures'!W11+'C.2 State Expenditures'!W11</f>
        <v>43235581.82</v>
      </c>
      <c r="X11" s="23">
        <f>'C.1 Federal Expenditures'!X11+'C.2 State Expenditures'!X11</f>
        <v>43235581.82</v>
      </c>
      <c r="Y11" s="23">
        <f>'C.1 Federal Expenditures'!Y11+'C.2 State Expenditures'!Y11</f>
        <v>0</v>
      </c>
      <c r="Z11" s="23">
        <f>'C.1 Federal Expenditures'!Z11+'C.2 State Expenditures'!Z11</f>
        <v>250000</v>
      </c>
      <c r="AA11" s="23">
        <f>'C.1 Federal Expenditures'!AA11+'C.2 State Expenditures'!AA11</f>
        <v>0</v>
      </c>
      <c r="AB11" s="23">
        <f>'C.1 Federal Expenditures'!AB11+'C.2 State Expenditures'!AB11</f>
        <v>0</v>
      </c>
      <c r="AC11" s="23">
        <f>'C.1 Federal Expenditures'!AC11+'C.2 State Expenditures'!AC11</f>
        <v>1337182.25</v>
      </c>
      <c r="AD11" s="23">
        <f>'C.1 Federal Expenditures'!AD11+'C.2 State Expenditures'!AD11</f>
        <v>3055034.9</v>
      </c>
      <c r="AE11" s="23">
        <f>'C.1 Federal Expenditures'!AE11+'C.2 State Expenditures'!AE11</f>
        <v>383336.17</v>
      </c>
      <c r="AF11" s="23">
        <f>'C.1 Federal Expenditures'!AF11+'C.2 State Expenditures'!AF11</f>
        <v>0</v>
      </c>
      <c r="AG11" s="23">
        <f>'C.1 Federal Expenditures'!AG11+'C.2 State Expenditures'!AG11</f>
        <v>0</v>
      </c>
      <c r="AH11" s="23">
        <f>'C.1 Federal Expenditures'!AH11+'C.2 State Expenditures'!AH11</f>
        <v>583322.30999999994</v>
      </c>
      <c r="AI11" s="23">
        <f>'C.1 Federal Expenditures'!AI11+'C.2 State Expenditures'!AI11</f>
        <v>583322.30999999994</v>
      </c>
      <c r="AJ11" s="23">
        <f>'C.1 Federal Expenditures'!AJ11+'C.2 State Expenditures'!AJ11</f>
        <v>0</v>
      </c>
      <c r="AK11" s="23">
        <f>'C.1 Federal Expenditures'!AK11+'C.2 State Expenditures'!AK11</f>
        <v>0</v>
      </c>
      <c r="AL11" s="23">
        <f>'C.1 Federal Expenditures'!AL11+'C.2 State Expenditures'!AL11</f>
        <v>0</v>
      </c>
      <c r="AM11" s="23">
        <f>'C.1 Federal Expenditures'!AM11+'C.2 State Expenditures'!AM11</f>
        <v>19859008.52</v>
      </c>
      <c r="AN11" s="23">
        <f>'C.1 Federal Expenditures'!AN11+'C.2 State Expenditures'!AN11</f>
        <v>2937057.1</v>
      </c>
      <c r="AO11" s="23">
        <f>'C.1 Federal Expenditures'!AO11+'C.2 State Expenditures'!AO11</f>
        <v>16467664.4</v>
      </c>
      <c r="AP11" s="23">
        <f>'C.1 Federal Expenditures'!AP11+'C.2 State Expenditures'!AP11</f>
        <v>454287.02</v>
      </c>
      <c r="AQ11" s="23">
        <f>'C.1 Federal Expenditures'!AQ11+'C.2 State Expenditures'!AQ11</f>
        <v>0</v>
      </c>
      <c r="AR11" s="23">
        <f>'C.1 Federal Expenditures'!AR11+'C.2 State Expenditures'!AR11</f>
        <v>84207746.310000002</v>
      </c>
      <c r="AS11" s="23">
        <f>'C.1 Federal Expenditures'!AS11</f>
        <v>35924998.560000002</v>
      </c>
      <c r="AT11" s="23">
        <f>'C.1 Federal Expenditures'!AT11</f>
        <v>0</v>
      </c>
      <c r="AU11" s="8"/>
      <c r="AV11" s="8"/>
      <c r="AW11" s="8"/>
      <c r="AX11" s="8"/>
      <c r="AY11" s="8"/>
      <c r="AZ11" s="8"/>
      <c r="BA11" s="8"/>
      <c r="BB11" s="8"/>
      <c r="BC11" s="8"/>
      <c r="BD11" s="8"/>
      <c r="BE11" s="8"/>
    </row>
    <row r="12" spans="1:57" x14ac:dyDescent="0.25">
      <c r="A12" s="33" t="s">
        <v>123</v>
      </c>
      <c r="B12" s="23">
        <f>'C.1 Federal Expenditures'!B12+'C.2 State Expenditures'!B12</f>
        <v>102825590.13</v>
      </c>
      <c r="C12" s="23">
        <f>'C.1 Federal Expenditures'!C12+'C.2 State Expenditures'!C12</f>
        <v>0</v>
      </c>
      <c r="D12" s="23">
        <f>'C.1 Federal Expenditures'!D12+'C.2 State Expenditures'!D12</f>
        <v>3922928.63</v>
      </c>
      <c r="E12" s="23">
        <f>'C.1 Federal Expenditures'!E12+'C.2 State Expenditures'!E12</f>
        <v>88381274.370000005</v>
      </c>
      <c r="F12" s="23">
        <f>'C.1 Federal Expenditures'!F12+'C.2 State Expenditures'!F12</f>
        <v>63679682.210000008</v>
      </c>
      <c r="G12" s="23">
        <f>'C.1 Federal Expenditures'!G12+'C.2 State Expenditures'!G12</f>
        <v>51920224.780000001</v>
      </c>
      <c r="H12" s="23">
        <f>'C.1 Federal Expenditures'!H12+'C.2 State Expenditures'!H12</f>
        <v>45666113.5</v>
      </c>
      <c r="I12" s="23">
        <f>'C.1 Federal Expenditures'!I12+'C.2 State Expenditures'!I12</f>
        <v>6254111.29</v>
      </c>
      <c r="J12" s="23">
        <f>'C.1 Federal Expenditures'!J12+'C.2 State Expenditures'!J12</f>
        <v>0</v>
      </c>
      <c r="K12" s="23">
        <f>'C.1 Federal Expenditures'!K12+'C.2 State Expenditures'!K12</f>
        <v>0</v>
      </c>
      <c r="L12" s="23">
        <f>'C.1 Federal Expenditures'!L12+'C.2 State Expenditures'!L12</f>
        <v>0</v>
      </c>
      <c r="M12" s="23">
        <f>'C.1 Federal Expenditures'!M12+'C.2 State Expenditures'!M12</f>
        <v>0</v>
      </c>
      <c r="N12" s="23">
        <f>'C.1 Federal Expenditures'!N12+'C.2 State Expenditures'!N12</f>
        <v>0</v>
      </c>
      <c r="O12" s="23">
        <f>'C.1 Federal Expenditures'!O12+'C.2 State Expenditures'!O12</f>
        <v>0</v>
      </c>
      <c r="P12" s="23">
        <f>'C.1 Federal Expenditures'!P12+'C.2 State Expenditures'!P12</f>
        <v>0</v>
      </c>
      <c r="Q12" s="23">
        <f>'C.1 Federal Expenditures'!Q12+'C.2 State Expenditures'!Q12</f>
        <v>0</v>
      </c>
      <c r="R12" s="23">
        <f>'C.1 Federal Expenditures'!R12+'C.2 State Expenditures'!R12</f>
        <v>30085697.759999998</v>
      </c>
      <c r="S12" s="23">
        <f>'C.1 Federal Expenditures'!S12+'C.2 State Expenditures'!S12</f>
        <v>0</v>
      </c>
      <c r="T12" s="23">
        <f>'C.1 Federal Expenditures'!T12+'C.2 State Expenditures'!T12</f>
        <v>685017.94</v>
      </c>
      <c r="U12" s="23">
        <f>'C.1 Federal Expenditures'!U12+'C.2 State Expenditures'!U12</f>
        <v>29400679.82</v>
      </c>
      <c r="V12" s="23">
        <f>'C.1 Federal Expenditures'!V12+'C.2 State Expenditures'!V12</f>
        <v>0</v>
      </c>
      <c r="W12" s="23">
        <f>'C.1 Federal Expenditures'!W12+'C.2 State Expenditures'!W12</f>
        <v>46206079.299999997</v>
      </c>
      <c r="X12" s="23">
        <f>'C.1 Federal Expenditures'!X12+'C.2 State Expenditures'!X12</f>
        <v>46206079.299999997</v>
      </c>
      <c r="Y12" s="23">
        <f>'C.1 Federal Expenditures'!Y12+'C.2 State Expenditures'!Y12</f>
        <v>0</v>
      </c>
      <c r="Z12" s="23">
        <f>'C.1 Federal Expenditures'!Z12+'C.2 State Expenditures'!Z12</f>
        <v>0</v>
      </c>
      <c r="AA12" s="23">
        <f>'C.1 Federal Expenditures'!AA12+'C.2 State Expenditures'!AA12</f>
        <v>27922928.280000001</v>
      </c>
      <c r="AB12" s="23">
        <f>'C.1 Federal Expenditures'!AB12+'C.2 State Expenditures'!AB12</f>
        <v>0</v>
      </c>
      <c r="AC12" s="23">
        <f>'C.1 Federal Expenditures'!AC12+'C.2 State Expenditures'!AC12</f>
        <v>189770463.31999999</v>
      </c>
      <c r="AD12" s="23">
        <f>'C.1 Federal Expenditures'!AD12+'C.2 State Expenditures'!AD12</f>
        <v>1101519.76</v>
      </c>
      <c r="AE12" s="23">
        <f>'C.1 Federal Expenditures'!AE12+'C.2 State Expenditures'!AE12</f>
        <v>0</v>
      </c>
      <c r="AF12" s="23">
        <f>'C.1 Federal Expenditures'!AF12+'C.2 State Expenditures'!AF12</f>
        <v>240975.34</v>
      </c>
      <c r="AG12" s="23">
        <f>'C.1 Federal Expenditures'!AG12+'C.2 State Expenditures'!AG12</f>
        <v>0</v>
      </c>
      <c r="AH12" s="23">
        <f>'C.1 Federal Expenditures'!AH12+'C.2 State Expenditures'!AH12</f>
        <v>0</v>
      </c>
      <c r="AI12" s="23">
        <f>'C.1 Federal Expenditures'!AI12+'C.2 State Expenditures'!AI12</f>
        <v>0</v>
      </c>
      <c r="AJ12" s="23">
        <f>'C.1 Federal Expenditures'!AJ12+'C.2 State Expenditures'!AJ12</f>
        <v>0</v>
      </c>
      <c r="AK12" s="23">
        <f>'C.1 Federal Expenditures'!AK12+'C.2 State Expenditures'!AK12</f>
        <v>0</v>
      </c>
      <c r="AL12" s="23">
        <f>'C.1 Federal Expenditures'!AL12+'C.2 State Expenditures'!AL12</f>
        <v>0</v>
      </c>
      <c r="AM12" s="23">
        <f>'C.1 Federal Expenditures'!AM12+'C.2 State Expenditures'!AM12</f>
        <v>20618799.969999999</v>
      </c>
      <c r="AN12" s="23">
        <f>'C.1 Federal Expenditures'!AN12+'C.2 State Expenditures'!AN12</f>
        <v>16367625.470000001</v>
      </c>
      <c r="AO12" s="23">
        <f>'C.1 Federal Expenditures'!AO12+'C.2 State Expenditures'!AO12</f>
        <v>3462138.58</v>
      </c>
      <c r="AP12" s="23">
        <f>'C.1 Federal Expenditures'!AP12+'C.2 State Expenditures'!AP12</f>
        <v>789035.92</v>
      </c>
      <c r="AQ12" s="23">
        <f>'C.1 Federal Expenditures'!AQ12+'C.2 State Expenditures'!AQ12</f>
        <v>0</v>
      </c>
      <c r="AR12" s="23">
        <f>'C.1 Federal Expenditures'!AR12+'C.2 State Expenditures'!AR12</f>
        <v>367866688.50999999</v>
      </c>
      <c r="AS12" s="23">
        <f>'C.1 Federal Expenditures'!AS12</f>
        <v>0</v>
      </c>
      <c r="AT12" s="23">
        <f>'C.1 Federal Expenditures'!AT12</f>
        <v>58694975.399999999</v>
      </c>
      <c r="AU12" s="8"/>
      <c r="AV12" s="8"/>
      <c r="AW12" s="8"/>
      <c r="AX12" s="8"/>
      <c r="AY12" s="8"/>
      <c r="AZ12" s="8"/>
      <c r="BA12" s="8"/>
      <c r="BB12" s="8"/>
      <c r="BC12" s="8"/>
      <c r="BD12" s="8"/>
      <c r="BE12" s="8"/>
    </row>
    <row r="13" spans="1:57" x14ac:dyDescent="0.25">
      <c r="A13" s="33" t="s">
        <v>124</v>
      </c>
      <c r="B13" s="23">
        <f>'C.1 Federal Expenditures'!B13+'C.2 State Expenditures'!B13</f>
        <v>560484398</v>
      </c>
      <c r="C13" s="23">
        <f>'C.1 Federal Expenditures'!C13+'C.2 State Expenditures'!C13</f>
        <v>110662022</v>
      </c>
      <c r="D13" s="23">
        <f>'C.1 Federal Expenditures'!D13+'C.2 State Expenditures'!D13</f>
        <v>56048439.799999997</v>
      </c>
      <c r="E13" s="23">
        <f>'C.1 Federal Expenditures'!E13+'C.2 State Expenditures'!E13</f>
        <v>393773936.19999999</v>
      </c>
      <c r="F13" s="23">
        <f>'C.1 Federal Expenditures'!F13+'C.2 State Expenditures'!F13</f>
        <v>171796110.44999999</v>
      </c>
      <c r="G13" s="23">
        <f>'C.1 Federal Expenditures'!G13+'C.2 State Expenditures'!G13</f>
        <v>148699606.84999999</v>
      </c>
      <c r="H13" s="23">
        <f>'C.1 Federal Expenditures'!H13+'C.2 State Expenditures'!H13</f>
        <v>100340059.95</v>
      </c>
      <c r="I13" s="23">
        <f>'C.1 Federal Expenditures'!I13+'C.2 State Expenditures'!I13</f>
        <v>48359546.899999999</v>
      </c>
      <c r="J13" s="23">
        <f>'C.1 Federal Expenditures'!J13+'C.2 State Expenditures'!J13</f>
        <v>0</v>
      </c>
      <c r="K13" s="23">
        <f>'C.1 Federal Expenditures'!K13+'C.2 State Expenditures'!K13</f>
        <v>0</v>
      </c>
      <c r="L13" s="23">
        <f>'C.1 Federal Expenditures'!L13+'C.2 State Expenditures'!L13</f>
        <v>0</v>
      </c>
      <c r="M13" s="23">
        <f>'C.1 Federal Expenditures'!M13+'C.2 State Expenditures'!M13</f>
        <v>0</v>
      </c>
      <c r="N13" s="23">
        <f>'C.1 Federal Expenditures'!N13+'C.2 State Expenditures'!N13</f>
        <v>0</v>
      </c>
      <c r="O13" s="23">
        <f>'C.1 Federal Expenditures'!O13+'C.2 State Expenditures'!O13</f>
        <v>0</v>
      </c>
      <c r="P13" s="23">
        <f>'C.1 Federal Expenditures'!P13+'C.2 State Expenditures'!P13</f>
        <v>0</v>
      </c>
      <c r="Q13" s="23">
        <f>'C.1 Federal Expenditures'!Q13+'C.2 State Expenditures'!Q13</f>
        <v>0</v>
      </c>
      <c r="R13" s="23">
        <f>'C.1 Federal Expenditures'!R13+'C.2 State Expenditures'!R13</f>
        <v>48043717.009999998</v>
      </c>
      <c r="S13" s="23">
        <f>'C.1 Federal Expenditures'!S13+'C.2 State Expenditures'!S13</f>
        <v>4617327.91</v>
      </c>
      <c r="T13" s="23">
        <f>'C.1 Federal Expenditures'!T13+'C.2 State Expenditures'!T13</f>
        <v>3247509.73</v>
      </c>
      <c r="U13" s="23">
        <f>'C.1 Federal Expenditures'!U13+'C.2 State Expenditures'!U13</f>
        <v>40178879.370000005</v>
      </c>
      <c r="V13" s="23">
        <f>'C.1 Federal Expenditures'!V13+'C.2 State Expenditures'!V13</f>
        <v>2558079.91</v>
      </c>
      <c r="W13" s="23">
        <f>'C.1 Federal Expenditures'!W13+'C.2 State Expenditures'!W13</f>
        <v>199184501.67000002</v>
      </c>
      <c r="X13" s="23">
        <f>'C.1 Federal Expenditures'!X13+'C.2 State Expenditures'!X13</f>
        <v>199184501.67000002</v>
      </c>
      <c r="Y13" s="23">
        <f>'C.1 Federal Expenditures'!Y13+'C.2 State Expenditures'!Y13</f>
        <v>0</v>
      </c>
      <c r="Z13" s="23">
        <f>'C.1 Federal Expenditures'!Z13+'C.2 State Expenditures'!Z13</f>
        <v>0</v>
      </c>
      <c r="AA13" s="23">
        <f>'C.1 Federal Expenditures'!AA13+'C.2 State Expenditures'!AA13</f>
        <v>0</v>
      </c>
      <c r="AB13" s="23">
        <f>'C.1 Federal Expenditures'!AB13+'C.2 State Expenditures'!AB13</f>
        <v>0</v>
      </c>
      <c r="AC13" s="23">
        <f>'C.1 Federal Expenditures'!AC13+'C.2 State Expenditures'!AC13</f>
        <v>765163.34000000008</v>
      </c>
      <c r="AD13" s="23">
        <f>'C.1 Federal Expenditures'!AD13+'C.2 State Expenditures'!AD13</f>
        <v>30816974.310000002</v>
      </c>
      <c r="AE13" s="23">
        <f>'C.1 Federal Expenditures'!AE13+'C.2 State Expenditures'!AE13</f>
        <v>0</v>
      </c>
      <c r="AF13" s="23">
        <f>'C.1 Federal Expenditures'!AF13+'C.2 State Expenditures'!AF13</f>
        <v>1920714.01</v>
      </c>
      <c r="AG13" s="23">
        <f>'C.1 Federal Expenditures'!AG13+'C.2 State Expenditures'!AG13</f>
        <v>4389611.26</v>
      </c>
      <c r="AH13" s="23">
        <f>'C.1 Federal Expenditures'!AH13+'C.2 State Expenditures'!AH13</f>
        <v>326077351.24000001</v>
      </c>
      <c r="AI13" s="23">
        <f>'C.1 Federal Expenditures'!AI13+'C.2 State Expenditures'!AI13</f>
        <v>34890834.270000003</v>
      </c>
      <c r="AJ13" s="23">
        <f>'C.1 Federal Expenditures'!AJ13+'C.2 State Expenditures'!AJ13</f>
        <v>3801318.67</v>
      </c>
      <c r="AK13" s="23">
        <f>'C.1 Federal Expenditures'!AK13+'C.2 State Expenditures'!AK13</f>
        <v>287385198.30999994</v>
      </c>
      <c r="AL13" s="23">
        <f>'C.1 Federal Expenditures'!AL13+'C.2 State Expenditures'!AL13</f>
        <v>0</v>
      </c>
      <c r="AM13" s="23">
        <f>'C.1 Federal Expenditures'!AM13+'C.2 State Expenditures'!AM13</f>
        <v>91445724.849999994</v>
      </c>
      <c r="AN13" s="23">
        <f>'C.1 Federal Expenditures'!AN13+'C.2 State Expenditures'!AN13</f>
        <v>86039538.75</v>
      </c>
      <c r="AO13" s="23">
        <f>'C.1 Federal Expenditures'!AO13+'C.2 State Expenditures'!AO13</f>
        <v>0</v>
      </c>
      <c r="AP13" s="23">
        <f>'C.1 Federal Expenditures'!AP13+'C.2 State Expenditures'!AP13</f>
        <v>5406186.1100000003</v>
      </c>
      <c r="AQ13" s="23">
        <f>'C.1 Federal Expenditures'!AQ13+'C.2 State Expenditures'!AQ13</f>
        <v>0</v>
      </c>
      <c r="AR13" s="23">
        <f>'C.1 Federal Expenditures'!AR13+'C.2 State Expenditures'!AR13</f>
        <v>853901444.46000004</v>
      </c>
      <c r="AS13" s="23">
        <f>'C.1 Federal Expenditures'!AS13</f>
        <v>0</v>
      </c>
      <c r="AT13" s="23">
        <f>'C.1 Federal Expenditures'!AT13</f>
        <v>202045580.90000001</v>
      </c>
      <c r="AU13" s="8"/>
      <c r="AV13" s="8"/>
      <c r="AW13" s="8"/>
      <c r="AX13" s="8"/>
      <c r="AY13" s="8"/>
      <c r="AZ13" s="8"/>
      <c r="BA13" s="8"/>
      <c r="BB13" s="8"/>
      <c r="BC13" s="8"/>
      <c r="BD13" s="8"/>
      <c r="BE13" s="8"/>
    </row>
    <row r="14" spans="1:57" x14ac:dyDescent="0.25">
      <c r="A14" s="33" t="s">
        <v>125</v>
      </c>
      <c r="B14" s="23">
        <f>'C.1 Federal Expenditures'!B14+'C.2 State Expenditures'!B14</f>
        <v>329650291</v>
      </c>
      <c r="C14" s="23">
        <f>'C.1 Federal Expenditures'!C14+'C.2 State Expenditures'!C14</f>
        <v>0</v>
      </c>
      <c r="D14" s="23">
        <f>'C.1 Federal Expenditures'!D14+'C.2 State Expenditures'!D14</f>
        <v>2082791</v>
      </c>
      <c r="E14" s="23">
        <f>'C.1 Federal Expenditures'!E14+'C.2 State Expenditures'!E14</f>
        <v>327567500</v>
      </c>
      <c r="F14" s="23">
        <f>'C.1 Federal Expenditures'!F14+'C.2 State Expenditures'!F14</f>
        <v>241342196</v>
      </c>
      <c r="G14" s="23">
        <f>'C.1 Federal Expenditures'!G14+'C.2 State Expenditures'!G14</f>
        <v>71504290</v>
      </c>
      <c r="H14" s="23">
        <f>'C.1 Federal Expenditures'!H14+'C.2 State Expenditures'!H14</f>
        <v>10671069</v>
      </c>
      <c r="I14" s="23">
        <f>'C.1 Federal Expenditures'!I14+'C.2 State Expenditures'!I14</f>
        <v>60833221</v>
      </c>
      <c r="J14" s="23">
        <f>'C.1 Federal Expenditures'!J14+'C.2 State Expenditures'!J14</f>
        <v>33040331</v>
      </c>
      <c r="K14" s="23">
        <f>'C.1 Federal Expenditures'!K14+'C.2 State Expenditures'!K14</f>
        <v>33040331</v>
      </c>
      <c r="L14" s="23">
        <f>'C.1 Federal Expenditures'!L14+'C.2 State Expenditures'!L14</f>
        <v>0</v>
      </c>
      <c r="M14" s="23">
        <f>'C.1 Federal Expenditures'!M14+'C.2 State Expenditures'!M14</f>
        <v>0</v>
      </c>
      <c r="N14" s="23">
        <f>'C.1 Federal Expenditures'!N14+'C.2 State Expenditures'!N14</f>
        <v>0</v>
      </c>
      <c r="O14" s="23">
        <f>'C.1 Federal Expenditures'!O14+'C.2 State Expenditures'!O14</f>
        <v>0</v>
      </c>
      <c r="P14" s="23">
        <f>'C.1 Federal Expenditures'!P14+'C.2 State Expenditures'!P14</f>
        <v>0</v>
      </c>
      <c r="Q14" s="23">
        <f>'C.1 Federal Expenditures'!Q14+'C.2 State Expenditures'!Q14</f>
        <v>0</v>
      </c>
      <c r="R14" s="23">
        <f>'C.1 Federal Expenditures'!R14+'C.2 State Expenditures'!R14</f>
        <v>5785925</v>
      </c>
      <c r="S14" s="23">
        <f>'C.1 Federal Expenditures'!S14+'C.2 State Expenditures'!S14</f>
        <v>5772305</v>
      </c>
      <c r="T14" s="23">
        <f>'C.1 Federal Expenditures'!T14+'C.2 State Expenditures'!T14</f>
        <v>4469</v>
      </c>
      <c r="U14" s="23">
        <f>'C.1 Federal Expenditures'!U14+'C.2 State Expenditures'!U14</f>
        <v>9151</v>
      </c>
      <c r="V14" s="23">
        <f>'C.1 Federal Expenditures'!V14+'C.2 State Expenditures'!V14</f>
        <v>224985</v>
      </c>
      <c r="W14" s="23">
        <f>'C.1 Federal Expenditures'!W14+'C.2 State Expenditures'!W14</f>
        <v>22182651</v>
      </c>
      <c r="X14" s="23">
        <f>'C.1 Federal Expenditures'!X14+'C.2 State Expenditures'!X14</f>
        <v>22182651</v>
      </c>
      <c r="Y14" s="23">
        <f>'C.1 Federal Expenditures'!Y14+'C.2 State Expenditures'!Y14</f>
        <v>0</v>
      </c>
      <c r="Z14" s="23">
        <f>'C.1 Federal Expenditures'!Z14+'C.2 State Expenditures'!Z14</f>
        <v>0</v>
      </c>
      <c r="AA14" s="23">
        <f>'C.1 Federal Expenditures'!AA14+'C.2 State Expenditures'!AA14</f>
        <v>0</v>
      </c>
      <c r="AB14" s="23">
        <f>'C.1 Federal Expenditures'!AB14+'C.2 State Expenditures'!AB14</f>
        <v>0</v>
      </c>
      <c r="AC14" s="23">
        <f>'C.1 Federal Expenditures'!AC14+'C.2 State Expenditures'!AC14</f>
        <v>10347853</v>
      </c>
      <c r="AD14" s="23">
        <f>'C.1 Federal Expenditures'!AD14+'C.2 State Expenditures'!AD14</f>
        <v>7938589</v>
      </c>
      <c r="AE14" s="23">
        <f>'C.1 Federal Expenditures'!AE14+'C.2 State Expenditures'!AE14</f>
        <v>51927918</v>
      </c>
      <c r="AF14" s="23">
        <f>'C.1 Federal Expenditures'!AF14+'C.2 State Expenditures'!AF14</f>
        <v>19090633</v>
      </c>
      <c r="AG14" s="23">
        <f>'C.1 Federal Expenditures'!AG14+'C.2 State Expenditures'!AG14</f>
        <v>0</v>
      </c>
      <c r="AH14" s="23">
        <f>'C.1 Federal Expenditures'!AH14+'C.2 State Expenditures'!AH14</f>
        <v>347682824</v>
      </c>
      <c r="AI14" s="23">
        <f>'C.1 Federal Expenditures'!AI14+'C.2 State Expenditures'!AI14</f>
        <v>331195362</v>
      </c>
      <c r="AJ14" s="23">
        <f>'C.1 Federal Expenditures'!AJ14+'C.2 State Expenditures'!AJ14</f>
        <v>9958698</v>
      </c>
      <c r="AK14" s="23">
        <f>'C.1 Federal Expenditures'!AK14+'C.2 State Expenditures'!AK14</f>
        <v>6528764</v>
      </c>
      <c r="AL14" s="23">
        <f>'C.1 Federal Expenditures'!AL14+'C.2 State Expenditures'!AL14</f>
        <v>0</v>
      </c>
      <c r="AM14" s="23">
        <f>'C.1 Federal Expenditures'!AM14+'C.2 State Expenditures'!AM14</f>
        <v>24265938</v>
      </c>
      <c r="AN14" s="23">
        <f>'C.1 Federal Expenditures'!AN14+'C.2 State Expenditures'!AN14</f>
        <v>17938255</v>
      </c>
      <c r="AO14" s="23">
        <f>'C.1 Federal Expenditures'!AO14+'C.2 State Expenditures'!AO14</f>
        <v>1304509</v>
      </c>
      <c r="AP14" s="23">
        <f>'C.1 Federal Expenditures'!AP14+'C.2 State Expenditures'!AP14</f>
        <v>5023174</v>
      </c>
      <c r="AQ14" s="23">
        <f>'C.1 Federal Expenditures'!AQ14+'C.2 State Expenditures'!AQ14</f>
        <v>0</v>
      </c>
      <c r="AR14" s="23">
        <f>'C.1 Federal Expenditures'!AR14+'C.2 State Expenditures'!AR14</f>
        <v>593991937</v>
      </c>
      <c r="AS14" s="23">
        <f>'C.1 Federal Expenditures'!AS14</f>
        <v>36243679</v>
      </c>
      <c r="AT14" s="23">
        <f>'C.1 Federal Expenditures'!AT14</f>
        <v>112042607</v>
      </c>
      <c r="AU14" s="8"/>
      <c r="AV14" s="8"/>
      <c r="AW14" s="8"/>
      <c r="AX14" s="8"/>
      <c r="AY14" s="8"/>
      <c r="AZ14" s="8"/>
      <c r="BA14" s="8"/>
      <c r="BB14" s="8"/>
      <c r="BC14" s="8"/>
      <c r="BD14" s="8"/>
      <c r="BE14" s="8"/>
    </row>
    <row r="15" spans="1:57" x14ac:dyDescent="0.25">
      <c r="A15" s="33" t="s">
        <v>126</v>
      </c>
      <c r="B15" s="23">
        <f>'C.1 Federal Expenditures'!B15+'C.2 State Expenditures'!B15</f>
        <v>98578402</v>
      </c>
      <c r="C15" s="23">
        <f>'C.1 Federal Expenditures'!C15+'C.2 State Expenditures'!C15</f>
        <v>0</v>
      </c>
      <c r="D15" s="23">
        <f>'C.1 Federal Expenditures'!D15+'C.2 State Expenditures'!D15</f>
        <v>7321384</v>
      </c>
      <c r="E15" s="23">
        <f>'C.1 Federal Expenditures'!E15+'C.2 State Expenditures'!E15</f>
        <v>91257018</v>
      </c>
      <c r="F15" s="23">
        <f>'C.1 Federal Expenditures'!F15+'C.2 State Expenditures'!F15</f>
        <v>472916471</v>
      </c>
      <c r="G15" s="23">
        <f>'C.1 Federal Expenditures'!G15+'C.2 State Expenditures'!G15</f>
        <v>21359319</v>
      </c>
      <c r="H15" s="23">
        <f>'C.1 Federal Expenditures'!H15+'C.2 State Expenditures'!H15</f>
        <v>21359319</v>
      </c>
      <c r="I15" s="23">
        <f>'C.1 Federal Expenditures'!I15+'C.2 State Expenditures'!I15</f>
        <v>0</v>
      </c>
      <c r="J15" s="23">
        <f>'C.1 Federal Expenditures'!J15+'C.2 State Expenditures'!J15</f>
        <v>0</v>
      </c>
      <c r="K15" s="23">
        <f>'C.1 Federal Expenditures'!K15+'C.2 State Expenditures'!K15</f>
        <v>0</v>
      </c>
      <c r="L15" s="23">
        <f>'C.1 Federal Expenditures'!L15+'C.2 State Expenditures'!L15</f>
        <v>0</v>
      </c>
      <c r="M15" s="23">
        <f>'C.1 Federal Expenditures'!M15+'C.2 State Expenditures'!M15</f>
        <v>0</v>
      </c>
      <c r="N15" s="23">
        <f>'C.1 Federal Expenditures'!N15+'C.2 State Expenditures'!N15</f>
        <v>0</v>
      </c>
      <c r="O15" s="23">
        <f>'C.1 Federal Expenditures'!O15+'C.2 State Expenditures'!O15</f>
        <v>0</v>
      </c>
      <c r="P15" s="23">
        <f>'C.1 Federal Expenditures'!P15+'C.2 State Expenditures'!P15</f>
        <v>0</v>
      </c>
      <c r="Q15" s="23">
        <f>'C.1 Federal Expenditures'!Q15+'C.2 State Expenditures'!Q15</f>
        <v>0</v>
      </c>
      <c r="R15" s="23">
        <f>'C.1 Federal Expenditures'!R15+'C.2 State Expenditures'!R15</f>
        <v>59155600</v>
      </c>
      <c r="S15" s="23">
        <f>'C.1 Federal Expenditures'!S15+'C.2 State Expenditures'!S15</f>
        <v>192516</v>
      </c>
      <c r="T15" s="23">
        <f>'C.1 Federal Expenditures'!T15+'C.2 State Expenditures'!T15</f>
        <v>50087185</v>
      </c>
      <c r="U15" s="23">
        <f>'C.1 Federal Expenditures'!U15+'C.2 State Expenditures'!U15</f>
        <v>8875899</v>
      </c>
      <c r="V15" s="23">
        <f>'C.1 Federal Expenditures'!V15+'C.2 State Expenditures'!V15</f>
        <v>804776</v>
      </c>
      <c r="W15" s="23">
        <f>'C.1 Federal Expenditures'!W15+'C.2 State Expenditures'!W15</f>
        <v>10728287</v>
      </c>
      <c r="X15" s="23">
        <f>'C.1 Federal Expenditures'!X15+'C.2 State Expenditures'!X15</f>
        <v>10728287</v>
      </c>
      <c r="Y15" s="23">
        <f>'C.1 Federal Expenditures'!Y15+'C.2 State Expenditures'!Y15</f>
        <v>0</v>
      </c>
      <c r="Z15" s="23">
        <f>'C.1 Federal Expenditures'!Z15+'C.2 State Expenditures'!Z15</f>
        <v>943653</v>
      </c>
      <c r="AA15" s="23">
        <f>'C.1 Federal Expenditures'!AA15+'C.2 State Expenditures'!AA15</f>
        <v>0</v>
      </c>
      <c r="AB15" s="23">
        <f>'C.1 Federal Expenditures'!AB15+'C.2 State Expenditures'!AB15</f>
        <v>0</v>
      </c>
      <c r="AC15" s="23">
        <f>'C.1 Federal Expenditures'!AC15+'C.2 State Expenditures'!AC15</f>
        <v>41079039</v>
      </c>
      <c r="AD15" s="23">
        <f>'C.1 Federal Expenditures'!AD15+'C.2 State Expenditures'!AD15</f>
        <v>33819699</v>
      </c>
      <c r="AE15" s="23">
        <f>'C.1 Federal Expenditures'!AE15+'C.2 State Expenditures'!AE15</f>
        <v>2660036</v>
      </c>
      <c r="AF15" s="23">
        <f>'C.1 Federal Expenditures'!AF15+'C.2 State Expenditures'!AF15</f>
        <v>14340434</v>
      </c>
      <c r="AG15" s="23">
        <f>'C.1 Federal Expenditures'!AG15+'C.2 State Expenditures'!AG15</f>
        <v>0</v>
      </c>
      <c r="AH15" s="23">
        <f>'C.1 Federal Expenditures'!AH15+'C.2 State Expenditures'!AH15</f>
        <v>4540511</v>
      </c>
      <c r="AI15" s="23">
        <f>'C.1 Federal Expenditures'!AI15+'C.2 State Expenditures'!AI15</f>
        <v>3538689</v>
      </c>
      <c r="AJ15" s="23">
        <f>'C.1 Federal Expenditures'!AJ15+'C.2 State Expenditures'!AJ15</f>
        <v>0</v>
      </c>
      <c r="AK15" s="23">
        <f>'C.1 Federal Expenditures'!AK15+'C.2 State Expenditures'!AK15</f>
        <v>1001822</v>
      </c>
      <c r="AL15" s="23">
        <f>'C.1 Federal Expenditures'!AL15+'C.2 State Expenditures'!AL15</f>
        <v>3517580</v>
      </c>
      <c r="AM15" s="23">
        <f>'C.1 Federal Expenditures'!AM15+'C.2 State Expenditures'!AM15</f>
        <v>42164002</v>
      </c>
      <c r="AN15" s="23">
        <f>'C.1 Federal Expenditures'!AN15+'C.2 State Expenditures'!AN15</f>
        <v>9387956</v>
      </c>
      <c r="AO15" s="23">
        <f>'C.1 Federal Expenditures'!AO15+'C.2 State Expenditures'!AO15</f>
        <v>8745610</v>
      </c>
      <c r="AP15" s="23">
        <f>'C.1 Federal Expenditures'!AP15+'C.2 State Expenditures'!AP15</f>
        <v>24030436</v>
      </c>
      <c r="AQ15" s="23">
        <f>'C.1 Federal Expenditures'!AQ15+'C.2 State Expenditures'!AQ15</f>
        <v>0</v>
      </c>
      <c r="AR15" s="23">
        <f>'C.1 Federal Expenditures'!AR15+'C.2 State Expenditures'!AR15</f>
        <v>235112936</v>
      </c>
      <c r="AS15" s="23">
        <f>'C.1 Federal Expenditures'!AS15</f>
        <v>79425170</v>
      </c>
      <c r="AT15" s="23">
        <f>'C.1 Federal Expenditures'!AT15</f>
        <v>393789423</v>
      </c>
      <c r="AU15" s="8"/>
      <c r="AV15" s="8"/>
      <c r="AW15" s="8"/>
      <c r="AX15" s="8"/>
      <c r="AY15" s="8"/>
      <c r="AZ15" s="8"/>
      <c r="BA15" s="8"/>
      <c r="BB15" s="8"/>
      <c r="BC15" s="8"/>
      <c r="BD15" s="8"/>
      <c r="BE15" s="8"/>
    </row>
    <row r="16" spans="1:57" x14ac:dyDescent="0.25">
      <c r="A16" s="33" t="s">
        <v>127</v>
      </c>
      <c r="B16" s="23">
        <f>'C.1 Federal Expenditures'!B16+'C.2 State Expenditures'!B16</f>
        <v>30307166</v>
      </c>
      <c r="C16" s="23">
        <f>'C.1 Federal Expenditures'!C16+'C.2 State Expenditures'!C16</f>
        <v>7804096</v>
      </c>
      <c r="D16" s="23">
        <f>'C.1 Federal Expenditures'!D16+'C.2 State Expenditures'!D16</f>
        <v>0</v>
      </c>
      <c r="E16" s="23">
        <f>'C.1 Federal Expenditures'!E16+'C.2 State Expenditures'!E16</f>
        <v>22503070</v>
      </c>
      <c r="F16" s="23">
        <f>'C.1 Federal Expenditures'!F16+'C.2 State Expenditures'!F16</f>
        <v>23402102</v>
      </c>
      <c r="G16" s="23">
        <f>'C.1 Federal Expenditures'!G16+'C.2 State Expenditures'!G16</f>
        <v>1742622</v>
      </c>
      <c r="H16" s="23">
        <f>'C.1 Federal Expenditures'!H16+'C.2 State Expenditures'!H16</f>
        <v>1742622</v>
      </c>
      <c r="I16" s="23">
        <f>'C.1 Federal Expenditures'!I16+'C.2 State Expenditures'!I16</f>
        <v>0</v>
      </c>
      <c r="J16" s="23">
        <f>'C.1 Federal Expenditures'!J16+'C.2 State Expenditures'!J16</f>
        <v>0</v>
      </c>
      <c r="K16" s="23">
        <f>'C.1 Federal Expenditures'!K16+'C.2 State Expenditures'!K16</f>
        <v>0</v>
      </c>
      <c r="L16" s="23">
        <f>'C.1 Federal Expenditures'!L16+'C.2 State Expenditures'!L16</f>
        <v>0</v>
      </c>
      <c r="M16" s="23">
        <f>'C.1 Federal Expenditures'!M16+'C.2 State Expenditures'!M16</f>
        <v>0</v>
      </c>
      <c r="N16" s="23">
        <f>'C.1 Federal Expenditures'!N16+'C.2 State Expenditures'!N16</f>
        <v>0</v>
      </c>
      <c r="O16" s="23">
        <f>'C.1 Federal Expenditures'!O16+'C.2 State Expenditures'!O16</f>
        <v>0</v>
      </c>
      <c r="P16" s="23">
        <f>'C.1 Federal Expenditures'!P16+'C.2 State Expenditures'!P16</f>
        <v>0</v>
      </c>
      <c r="Q16" s="23">
        <f>'C.1 Federal Expenditures'!Q16+'C.2 State Expenditures'!Q16</f>
        <v>0</v>
      </c>
      <c r="R16" s="23">
        <f>'C.1 Federal Expenditures'!R16+'C.2 State Expenditures'!R16</f>
        <v>1348995.52</v>
      </c>
      <c r="S16" s="23">
        <f>'C.1 Federal Expenditures'!S16+'C.2 State Expenditures'!S16</f>
        <v>45424.12</v>
      </c>
      <c r="T16" s="23">
        <f>'C.1 Federal Expenditures'!T16+'C.2 State Expenditures'!T16</f>
        <v>58194.400000000001</v>
      </c>
      <c r="U16" s="23">
        <f>'C.1 Federal Expenditures'!U16+'C.2 State Expenditures'!U16</f>
        <v>1245377</v>
      </c>
      <c r="V16" s="23">
        <f>'C.1 Federal Expenditures'!V16+'C.2 State Expenditures'!V16</f>
        <v>8208</v>
      </c>
      <c r="W16" s="23">
        <f>'C.1 Federal Expenditures'!W16+'C.2 State Expenditures'!W16</f>
        <v>1324659</v>
      </c>
      <c r="X16" s="23">
        <f>'C.1 Federal Expenditures'!X16+'C.2 State Expenditures'!X16</f>
        <v>1175819</v>
      </c>
      <c r="Y16" s="23">
        <f>'C.1 Federal Expenditures'!Y16+'C.2 State Expenditures'!Y16</f>
        <v>148840</v>
      </c>
      <c r="Z16" s="23">
        <f>'C.1 Federal Expenditures'!Z16+'C.2 State Expenditures'!Z16</f>
        <v>381438</v>
      </c>
      <c r="AA16" s="23">
        <f>'C.1 Federal Expenditures'!AA16+'C.2 State Expenditures'!AA16</f>
        <v>0</v>
      </c>
      <c r="AB16" s="23">
        <f>'C.1 Federal Expenditures'!AB16+'C.2 State Expenditures'!AB16</f>
        <v>0</v>
      </c>
      <c r="AC16" s="23">
        <f>'C.1 Federal Expenditures'!AC16+'C.2 State Expenditures'!AC16</f>
        <v>3375037</v>
      </c>
      <c r="AD16" s="23">
        <f>'C.1 Federal Expenditures'!AD16+'C.2 State Expenditures'!AD16</f>
        <v>0</v>
      </c>
      <c r="AE16" s="23">
        <f>'C.1 Federal Expenditures'!AE16+'C.2 State Expenditures'!AE16</f>
        <v>0</v>
      </c>
      <c r="AF16" s="23">
        <f>'C.1 Federal Expenditures'!AF16+'C.2 State Expenditures'!AF16</f>
        <v>131281</v>
      </c>
      <c r="AG16" s="23">
        <f>'C.1 Federal Expenditures'!AG16+'C.2 State Expenditures'!AG16</f>
        <v>0</v>
      </c>
      <c r="AH16" s="23">
        <f>'C.1 Federal Expenditures'!AH16+'C.2 State Expenditures'!AH16</f>
        <v>16398765</v>
      </c>
      <c r="AI16" s="23">
        <f>'C.1 Federal Expenditures'!AI16+'C.2 State Expenditures'!AI16</f>
        <v>1601199</v>
      </c>
      <c r="AJ16" s="23">
        <f>'C.1 Federal Expenditures'!AJ16+'C.2 State Expenditures'!AJ16</f>
        <v>0</v>
      </c>
      <c r="AK16" s="23">
        <f>'C.1 Federal Expenditures'!AK16+'C.2 State Expenditures'!AK16</f>
        <v>14797566</v>
      </c>
      <c r="AL16" s="23">
        <f>'C.1 Federal Expenditures'!AL16+'C.2 State Expenditures'!AL16</f>
        <v>0</v>
      </c>
      <c r="AM16" s="23">
        <f>'C.1 Federal Expenditures'!AM16+'C.2 State Expenditures'!AM16</f>
        <v>12500395</v>
      </c>
      <c r="AN16" s="23">
        <f>'C.1 Federal Expenditures'!AN16+'C.2 State Expenditures'!AN16</f>
        <v>3565365</v>
      </c>
      <c r="AO16" s="23">
        <f>'C.1 Federal Expenditures'!AO16+'C.2 State Expenditures'!AO16</f>
        <v>6523464</v>
      </c>
      <c r="AP16" s="23">
        <f>'C.1 Federal Expenditures'!AP16+'C.2 State Expenditures'!AP16</f>
        <v>2411566</v>
      </c>
      <c r="AQ16" s="23">
        <f>'C.1 Federal Expenditures'!AQ16+'C.2 State Expenditures'!AQ16</f>
        <v>0</v>
      </c>
      <c r="AR16" s="23">
        <f>'C.1 Federal Expenditures'!AR16+'C.2 State Expenditures'!AR16</f>
        <v>37211400.519999996</v>
      </c>
      <c r="AS16" s="23">
        <f>'C.1 Federal Expenditures'!AS16</f>
        <v>0</v>
      </c>
      <c r="AT16" s="23">
        <f>'C.1 Federal Expenditures'!AT16</f>
        <v>21719151</v>
      </c>
      <c r="AU16" s="8"/>
      <c r="AV16" s="8"/>
      <c r="AW16" s="8"/>
      <c r="AX16" s="8"/>
      <c r="AY16" s="8"/>
      <c r="AZ16" s="8"/>
      <c r="BA16" s="8"/>
      <c r="BB16" s="8"/>
      <c r="BC16" s="8"/>
      <c r="BD16" s="8"/>
      <c r="BE16" s="8"/>
    </row>
    <row r="17" spans="1:57" x14ac:dyDescent="0.25">
      <c r="A17" s="33" t="s">
        <v>128</v>
      </c>
      <c r="B17" s="23">
        <f>'C.1 Federal Expenditures'!B17+'C.2 State Expenditures'!B17</f>
        <v>583126272</v>
      </c>
      <c r="C17" s="23">
        <f>'C.1 Federal Expenditures'!C17+'C.2 State Expenditures'!C17</f>
        <v>0</v>
      </c>
      <c r="D17" s="23">
        <f>'C.1 Federal Expenditures'!D17+'C.2 State Expenditures'!D17</f>
        <v>0</v>
      </c>
      <c r="E17" s="23">
        <f>'C.1 Federal Expenditures'!E17+'C.2 State Expenditures'!E17</f>
        <v>583126272</v>
      </c>
      <c r="F17" s="23">
        <f>'C.1 Federal Expenditures'!F17+'C.2 State Expenditures'!F17</f>
        <v>0</v>
      </c>
      <c r="G17" s="23">
        <f>'C.1 Federal Expenditures'!G17+'C.2 State Expenditures'!G17</f>
        <v>57606210.680000007</v>
      </c>
      <c r="H17" s="23">
        <f>'C.1 Federal Expenditures'!H17+'C.2 State Expenditures'!H17</f>
        <v>57606210.680000007</v>
      </c>
      <c r="I17" s="23">
        <f>'C.1 Federal Expenditures'!I17+'C.2 State Expenditures'!I17</f>
        <v>0</v>
      </c>
      <c r="J17" s="23">
        <f>'C.1 Federal Expenditures'!J17+'C.2 State Expenditures'!J17</f>
        <v>0</v>
      </c>
      <c r="K17" s="23">
        <f>'C.1 Federal Expenditures'!K17+'C.2 State Expenditures'!K17</f>
        <v>0</v>
      </c>
      <c r="L17" s="23">
        <f>'C.1 Federal Expenditures'!L17+'C.2 State Expenditures'!L17</f>
        <v>0</v>
      </c>
      <c r="M17" s="23">
        <f>'C.1 Federal Expenditures'!M17+'C.2 State Expenditures'!M17</f>
        <v>0</v>
      </c>
      <c r="N17" s="23">
        <f>'C.1 Federal Expenditures'!N17+'C.2 State Expenditures'!N17</f>
        <v>0</v>
      </c>
      <c r="O17" s="23">
        <f>'C.1 Federal Expenditures'!O17+'C.2 State Expenditures'!O17</f>
        <v>0</v>
      </c>
      <c r="P17" s="23">
        <f>'C.1 Federal Expenditures'!P17+'C.2 State Expenditures'!P17</f>
        <v>0</v>
      </c>
      <c r="Q17" s="23">
        <f>'C.1 Federal Expenditures'!Q17+'C.2 State Expenditures'!Q17</f>
        <v>0</v>
      </c>
      <c r="R17" s="23">
        <f>'C.1 Federal Expenditures'!R17+'C.2 State Expenditures'!R17</f>
        <v>22111642.969999999</v>
      </c>
      <c r="S17" s="23">
        <f>'C.1 Federal Expenditures'!S17+'C.2 State Expenditures'!S17</f>
        <v>0</v>
      </c>
      <c r="T17" s="23">
        <f>'C.1 Federal Expenditures'!T17+'C.2 State Expenditures'!T17</f>
        <v>16743021.75</v>
      </c>
      <c r="U17" s="23">
        <f>'C.1 Federal Expenditures'!U17+'C.2 State Expenditures'!U17</f>
        <v>5368621.22</v>
      </c>
      <c r="V17" s="23">
        <f>'C.1 Federal Expenditures'!V17+'C.2 State Expenditures'!V17</f>
        <v>2494158.59</v>
      </c>
      <c r="W17" s="23">
        <f>'C.1 Federal Expenditures'!W17+'C.2 State Expenditures'!W17</f>
        <v>934900357.47000003</v>
      </c>
      <c r="X17" s="23">
        <f>'C.1 Federal Expenditures'!X17+'C.2 State Expenditures'!X17</f>
        <v>787705101.83000004</v>
      </c>
      <c r="Y17" s="23">
        <f>'C.1 Federal Expenditures'!Y17+'C.2 State Expenditures'!Y17</f>
        <v>147195255.63999999</v>
      </c>
      <c r="Z17" s="23">
        <f>'C.1 Federal Expenditures'!Z17+'C.2 State Expenditures'!Z17</f>
        <v>592963</v>
      </c>
      <c r="AA17" s="23">
        <f>'C.1 Federal Expenditures'!AA17+'C.2 State Expenditures'!AA17</f>
        <v>122995622.66</v>
      </c>
      <c r="AB17" s="23">
        <f>'C.1 Federal Expenditures'!AB17+'C.2 State Expenditures'!AB17</f>
        <v>0</v>
      </c>
      <c r="AC17" s="23">
        <f>'C.1 Federal Expenditures'!AC17+'C.2 State Expenditures'!AC17</f>
        <v>825512</v>
      </c>
      <c r="AD17" s="23">
        <f>'C.1 Federal Expenditures'!AD17+'C.2 State Expenditures'!AD17</f>
        <v>2760563.67</v>
      </c>
      <c r="AE17" s="23">
        <f>'C.1 Federal Expenditures'!AE17+'C.2 State Expenditures'!AE17</f>
        <v>0</v>
      </c>
      <c r="AF17" s="23">
        <f>'C.1 Federal Expenditures'!AF17+'C.2 State Expenditures'!AF17</f>
        <v>704774.55</v>
      </c>
      <c r="AG17" s="23">
        <f>'C.1 Federal Expenditures'!AG17+'C.2 State Expenditures'!AG17</f>
        <v>0</v>
      </c>
      <c r="AH17" s="23">
        <f>'C.1 Federal Expenditures'!AH17+'C.2 State Expenditures'!AH17</f>
        <v>236953908.36000001</v>
      </c>
      <c r="AI17" s="23">
        <f>'C.1 Federal Expenditures'!AI17+'C.2 State Expenditures'!AI17</f>
        <v>0</v>
      </c>
      <c r="AJ17" s="23">
        <f>'C.1 Federal Expenditures'!AJ17+'C.2 State Expenditures'!AJ17</f>
        <v>0</v>
      </c>
      <c r="AK17" s="23">
        <f>'C.1 Federal Expenditures'!AK17+'C.2 State Expenditures'!AK17</f>
        <v>236953908.36000001</v>
      </c>
      <c r="AL17" s="23">
        <f>'C.1 Federal Expenditures'!AL17+'C.2 State Expenditures'!AL17</f>
        <v>0</v>
      </c>
      <c r="AM17" s="23">
        <f>'C.1 Federal Expenditures'!AM17+'C.2 State Expenditures'!AM17</f>
        <v>126457116.36</v>
      </c>
      <c r="AN17" s="23">
        <f>'C.1 Federal Expenditures'!AN17+'C.2 State Expenditures'!AN17</f>
        <v>0</v>
      </c>
      <c r="AO17" s="23">
        <f>'C.1 Federal Expenditures'!AO17+'C.2 State Expenditures'!AO17</f>
        <v>126457116.36</v>
      </c>
      <c r="AP17" s="23">
        <f>'C.1 Federal Expenditures'!AP17+'C.2 State Expenditures'!AP17</f>
        <v>0</v>
      </c>
      <c r="AQ17" s="23">
        <f>'C.1 Federal Expenditures'!AQ17+'C.2 State Expenditures'!AQ17</f>
        <v>0</v>
      </c>
      <c r="AR17" s="23">
        <f>'C.1 Federal Expenditures'!AR17+'C.2 State Expenditures'!AR17</f>
        <v>1508402830.3099999</v>
      </c>
      <c r="AS17" s="23">
        <f>'C.1 Federal Expenditures'!AS17</f>
        <v>0</v>
      </c>
      <c r="AT17" s="23">
        <f>'C.1 Federal Expenditures'!AT17</f>
        <v>0</v>
      </c>
      <c r="AU17" s="8"/>
      <c r="AV17" s="8"/>
      <c r="AW17" s="8"/>
      <c r="AX17" s="8"/>
      <c r="AY17" s="8"/>
      <c r="AZ17" s="8"/>
      <c r="BA17" s="8"/>
      <c r="BB17" s="8"/>
      <c r="BC17" s="8"/>
      <c r="BD17" s="8"/>
      <c r="BE17" s="8"/>
    </row>
    <row r="18" spans="1:57" x14ac:dyDescent="0.25">
      <c r="A18" s="33" t="s">
        <v>129</v>
      </c>
      <c r="B18" s="23">
        <f>'C.1 Federal Expenditures'!B18+'C.2 State Expenditures'!B18</f>
        <v>206116672</v>
      </c>
      <c r="C18" s="23">
        <f>'C.1 Federal Expenditures'!C18+'C.2 State Expenditures'!C18</f>
        <v>61835001.600000001</v>
      </c>
      <c r="D18" s="23">
        <f>'C.1 Federal Expenditures'!D18+'C.2 State Expenditures'!D18</f>
        <v>0</v>
      </c>
      <c r="E18" s="23">
        <f>'C.1 Federal Expenditures'!E18+'C.2 State Expenditures'!E18</f>
        <v>144281670.40000001</v>
      </c>
      <c r="F18" s="23">
        <f>'C.1 Federal Expenditures'!F18+'C.2 State Expenditures'!F18</f>
        <v>200556551.09999999</v>
      </c>
      <c r="G18" s="23">
        <f>'C.1 Federal Expenditures'!G18+'C.2 State Expenditures'!G18</f>
        <v>19540752.5</v>
      </c>
      <c r="H18" s="23">
        <f>'C.1 Federal Expenditures'!H18+'C.2 State Expenditures'!H18</f>
        <v>19540752.5</v>
      </c>
      <c r="I18" s="23">
        <f>'C.1 Federal Expenditures'!I18+'C.2 State Expenditures'!I18</f>
        <v>0</v>
      </c>
      <c r="J18" s="23">
        <f>'C.1 Federal Expenditures'!J18+'C.2 State Expenditures'!J18</f>
        <v>0</v>
      </c>
      <c r="K18" s="23">
        <f>'C.1 Federal Expenditures'!K18+'C.2 State Expenditures'!K18</f>
        <v>0</v>
      </c>
      <c r="L18" s="23">
        <f>'C.1 Federal Expenditures'!L18+'C.2 State Expenditures'!L18</f>
        <v>0</v>
      </c>
      <c r="M18" s="23">
        <f>'C.1 Federal Expenditures'!M18+'C.2 State Expenditures'!M18</f>
        <v>0</v>
      </c>
      <c r="N18" s="23">
        <f>'C.1 Federal Expenditures'!N18+'C.2 State Expenditures'!N18</f>
        <v>0</v>
      </c>
      <c r="O18" s="23">
        <f>'C.1 Federal Expenditures'!O18+'C.2 State Expenditures'!O18</f>
        <v>0</v>
      </c>
      <c r="P18" s="23">
        <f>'C.1 Federal Expenditures'!P18+'C.2 State Expenditures'!P18</f>
        <v>0</v>
      </c>
      <c r="Q18" s="23">
        <f>'C.1 Federal Expenditures'!Q18+'C.2 State Expenditures'!Q18</f>
        <v>0</v>
      </c>
      <c r="R18" s="23">
        <f>'C.1 Federal Expenditures'!R18+'C.2 State Expenditures'!R18</f>
        <v>63085613.969999999</v>
      </c>
      <c r="S18" s="23">
        <f>'C.1 Federal Expenditures'!S18+'C.2 State Expenditures'!S18</f>
        <v>0</v>
      </c>
      <c r="T18" s="23">
        <f>'C.1 Federal Expenditures'!T18+'C.2 State Expenditures'!T18</f>
        <v>63085613.969999999</v>
      </c>
      <c r="U18" s="23">
        <f>'C.1 Federal Expenditures'!U18+'C.2 State Expenditures'!U18</f>
        <v>0</v>
      </c>
      <c r="V18" s="23">
        <f>'C.1 Federal Expenditures'!V18+'C.2 State Expenditures'!V18</f>
        <v>421572.9</v>
      </c>
      <c r="W18" s="23">
        <f>'C.1 Federal Expenditures'!W18+'C.2 State Expenditures'!W18</f>
        <v>15977638.5</v>
      </c>
      <c r="X18" s="23">
        <f>'C.1 Federal Expenditures'!X18+'C.2 State Expenditures'!X18</f>
        <v>15977638.5</v>
      </c>
      <c r="Y18" s="23">
        <f>'C.1 Federal Expenditures'!Y18+'C.2 State Expenditures'!Y18</f>
        <v>0</v>
      </c>
      <c r="Z18" s="23">
        <f>'C.1 Federal Expenditures'!Z18+'C.2 State Expenditures'!Z18</f>
        <v>0</v>
      </c>
      <c r="AA18" s="23">
        <f>'C.1 Federal Expenditures'!AA18+'C.2 State Expenditures'!AA18</f>
        <v>26554353</v>
      </c>
      <c r="AB18" s="23">
        <f>'C.1 Federal Expenditures'!AB18+'C.2 State Expenditures'!AB18</f>
        <v>0</v>
      </c>
      <c r="AC18" s="23">
        <f>'C.1 Federal Expenditures'!AC18+'C.2 State Expenditures'!AC18</f>
        <v>0</v>
      </c>
      <c r="AD18" s="23">
        <f>'C.1 Federal Expenditures'!AD18+'C.2 State Expenditures'!AD18</f>
        <v>0</v>
      </c>
      <c r="AE18" s="23">
        <f>'C.1 Federal Expenditures'!AE18+'C.2 State Expenditures'!AE18</f>
        <v>42564352.43</v>
      </c>
      <c r="AF18" s="23">
        <f>'C.1 Federal Expenditures'!AF18+'C.2 State Expenditures'!AF18</f>
        <v>2497483.0099999998</v>
      </c>
      <c r="AG18" s="23">
        <f>'C.1 Federal Expenditures'!AG18+'C.2 State Expenditures'!AG18</f>
        <v>16766521.310000001</v>
      </c>
      <c r="AH18" s="23">
        <f>'C.1 Federal Expenditures'!AH18+'C.2 State Expenditures'!AH18</f>
        <v>936440.98</v>
      </c>
      <c r="AI18" s="23">
        <f>'C.1 Federal Expenditures'!AI18+'C.2 State Expenditures'!AI18</f>
        <v>936440.98</v>
      </c>
      <c r="AJ18" s="23">
        <f>'C.1 Federal Expenditures'!AJ18+'C.2 State Expenditures'!AJ18</f>
        <v>0</v>
      </c>
      <c r="AK18" s="23">
        <f>'C.1 Federal Expenditures'!AK18+'C.2 State Expenditures'!AK18</f>
        <v>0</v>
      </c>
      <c r="AL18" s="23">
        <f>'C.1 Federal Expenditures'!AL18+'C.2 State Expenditures'!AL18</f>
        <v>19789549.719999999</v>
      </c>
      <c r="AM18" s="23">
        <f>'C.1 Federal Expenditures'!AM18+'C.2 State Expenditures'!AM18</f>
        <v>27187689.409999996</v>
      </c>
      <c r="AN18" s="23">
        <f>'C.1 Federal Expenditures'!AN18+'C.2 State Expenditures'!AN18</f>
        <v>20134757.140000001</v>
      </c>
      <c r="AO18" s="23">
        <f>'C.1 Federal Expenditures'!AO18+'C.2 State Expenditures'!AO18</f>
        <v>0</v>
      </c>
      <c r="AP18" s="23">
        <f>'C.1 Federal Expenditures'!AP18+'C.2 State Expenditures'!AP18</f>
        <v>7052932.2699999996</v>
      </c>
      <c r="AQ18" s="23">
        <f>'C.1 Federal Expenditures'!AQ18+'C.2 State Expenditures'!AQ18</f>
        <v>0</v>
      </c>
      <c r="AR18" s="23">
        <f>'C.1 Federal Expenditures'!AR18+'C.2 State Expenditures'!AR18</f>
        <v>235321967.70999998</v>
      </c>
      <c r="AS18" s="23">
        <f>'C.1 Federal Expenditures'!AS18</f>
        <v>17749096.5</v>
      </c>
      <c r="AT18" s="23">
        <f>'C.1 Federal Expenditures'!AT18</f>
        <v>212861049</v>
      </c>
      <c r="AU18" s="8"/>
      <c r="AV18" s="8"/>
      <c r="AW18" s="8"/>
      <c r="AX18" s="8"/>
      <c r="AY18" s="8"/>
      <c r="AZ18" s="8"/>
      <c r="BA18" s="8"/>
      <c r="BB18" s="8"/>
      <c r="BC18" s="8"/>
      <c r="BD18" s="8"/>
      <c r="BE18" s="8"/>
    </row>
    <row r="19" spans="1:57" x14ac:dyDescent="0.25">
      <c r="A19" s="33" t="s">
        <v>130</v>
      </c>
      <c r="B19" s="23">
        <f>'C.1 Federal Expenditures'!B19+'C.2 State Expenditures'!B19</f>
        <v>130558068</v>
      </c>
      <c r="C19" s="23">
        <f>'C.1 Federal Expenditures'!C19+'C.2 State Expenditures'!C19</f>
        <v>26205412</v>
      </c>
      <c r="D19" s="23">
        <f>'C.1 Federal Expenditures'!D19+'C.2 State Expenditures'!D19</f>
        <v>12962008</v>
      </c>
      <c r="E19" s="23">
        <f>'C.1 Federal Expenditures'!E19+'C.2 State Expenditures'!E19</f>
        <v>91390648</v>
      </c>
      <c r="F19" s="23">
        <f>'C.1 Federal Expenditures'!F19+'C.2 State Expenditures'!F19</f>
        <v>94331034.780000001</v>
      </c>
      <c r="G19" s="23">
        <f>'C.1 Federal Expenditures'!G19+'C.2 State Expenditures'!G19</f>
        <v>16037703.129999999</v>
      </c>
      <c r="H19" s="23">
        <f>'C.1 Federal Expenditures'!H19+'C.2 State Expenditures'!H19</f>
        <v>16037703.129999999</v>
      </c>
      <c r="I19" s="23">
        <f>'C.1 Federal Expenditures'!I19+'C.2 State Expenditures'!I19</f>
        <v>0</v>
      </c>
      <c r="J19" s="23">
        <f>'C.1 Federal Expenditures'!J19+'C.2 State Expenditures'!J19</f>
        <v>0</v>
      </c>
      <c r="K19" s="23">
        <f>'C.1 Federal Expenditures'!K19+'C.2 State Expenditures'!K19</f>
        <v>0</v>
      </c>
      <c r="L19" s="23">
        <f>'C.1 Federal Expenditures'!L19+'C.2 State Expenditures'!L19</f>
        <v>0</v>
      </c>
      <c r="M19" s="23">
        <f>'C.1 Federal Expenditures'!M19+'C.2 State Expenditures'!M19</f>
        <v>0</v>
      </c>
      <c r="N19" s="23">
        <f>'C.1 Federal Expenditures'!N19+'C.2 State Expenditures'!N19</f>
        <v>0</v>
      </c>
      <c r="O19" s="23">
        <f>'C.1 Federal Expenditures'!O19+'C.2 State Expenditures'!O19</f>
        <v>0</v>
      </c>
      <c r="P19" s="23">
        <f>'C.1 Federal Expenditures'!P19+'C.2 State Expenditures'!P19</f>
        <v>0</v>
      </c>
      <c r="Q19" s="23">
        <f>'C.1 Federal Expenditures'!Q19+'C.2 State Expenditures'!Q19</f>
        <v>0</v>
      </c>
      <c r="R19" s="23">
        <f>'C.1 Federal Expenditures'!R19+'C.2 State Expenditures'!R19</f>
        <v>7200631.6600000001</v>
      </c>
      <c r="S19" s="23">
        <f>'C.1 Federal Expenditures'!S19+'C.2 State Expenditures'!S19</f>
        <v>0</v>
      </c>
      <c r="T19" s="23">
        <f>'C.1 Federal Expenditures'!T19+'C.2 State Expenditures'!T19</f>
        <v>0</v>
      </c>
      <c r="U19" s="23">
        <f>'C.1 Federal Expenditures'!U19+'C.2 State Expenditures'!U19</f>
        <v>7200631.6600000001</v>
      </c>
      <c r="V19" s="23">
        <f>'C.1 Federal Expenditures'!V19+'C.2 State Expenditures'!V19</f>
        <v>285830.74</v>
      </c>
      <c r="W19" s="23">
        <f>'C.1 Federal Expenditures'!W19+'C.2 State Expenditures'!W19</f>
        <v>19220566.300000001</v>
      </c>
      <c r="X19" s="23">
        <f>'C.1 Federal Expenditures'!X19+'C.2 State Expenditures'!X19</f>
        <v>19220566.300000001</v>
      </c>
      <c r="Y19" s="23">
        <f>'C.1 Federal Expenditures'!Y19+'C.2 State Expenditures'!Y19</f>
        <v>0</v>
      </c>
      <c r="Z19" s="23">
        <f>'C.1 Federal Expenditures'!Z19+'C.2 State Expenditures'!Z19</f>
        <v>0</v>
      </c>
      <c r="AA19" s="23">
        <f>'C.1 Federal Expenditures'!AA19+'C.2 State Expenditures'!AA19</f>
        <v>27231569.640000001</v>
      </c>
      <c r="AB19" s="23">
        <f>'C.1 Federal Expenditures'!AB19+'C.2 State Expenditures'!AB19</f>
        <v>0</v>
      </c>
      <c r="AC19" s="23">
        <f>'C.1 Federal Expenditures'!AC19+'C.2 State Expenditures'!AC19</f>
        <v>519731.85</v>
      </c>
      <c r="AD19" s="23">
        <f>'C.1 Federal Expenditures'!AD19+'C.2 State Expenditures'!AD19</f>
        <v>0</v>
      </c>
      <c r="AE19" s="23">
        <f>'C.1 Federal Expenditures'!AE19+'C.2 State Expenditures'!AE19</f>
        <v>0</v>
      </c>
      <c r="AF19" s="23">
        <f>'C.1 Federal Expenditures'!AF19+'C.2 State Expenditures'!AF19</f>
        <v>1219238.06</v>
      </c>
      <c r="AG19" s="23">
        <f>'C.1 Federal Expenditures'!AG19+'C.2 State Expenditures'!AG19</f>
        <v>3283.42</v>
      </c>
      <c r="AH19" s="23">
        <f>'C.1 Federal Expenditures'!AH19+'C.2 State Expenditures'!AH19</f>
        <v>43621009.229999997</v>
      </c>
      <c r="AI19" s="23">
        <f>'C.1 Federal Expenditures'!AI19+'C.2 State Expenditures'!AI19</f>
        <v>27649080.739999998</v>
      </c>
      <c r="AJ19" s="23">
        <f>'C.1 Federal Expenditures'!AJ19+'C.2 State Expenditures'!AJ19</f>
        <v>0</v>
      </c>
      <c r="AK19" s="23">
        <f>'C.1 Federal Expenditures'!AK19+'C.2 State Expenditures'!AK19</f>
        <v>15971928.49</v>
      </c>
      <c r="AL19" s="23">
        <f>'C.1 Federal Expenditures'!AL19+'C.2 State Expenditures'!AL19</f>
        <v>0</v>
      </c>
      <c r="AM19" s="23">
        <f>'C.1 Federal Expenditures'!AM19+'C.2 State Expenditures'!AM19</f>
        <v>12412750.5</v>
      </c>
      <c r="AN19" s="23">
        <f>'C.1 Federal Expenditures'!AN19+'C.2 State Expenditures'!AN19</f>
        <v>4725509.18</v>
      </c>
      <c r="AO19" s="23">
        <f>'C.1 Federal Expenditures'!AO19+'C.2 State Expenditures'!AO19</f>
        <v>6504515.9299999997</v>
      </c>
      <c r="AP19" s="23">
        <f>'C.1 Federal Expenditures'!AP19+'C.2 State Expenditures'!AP19</f>
        <v>1182725.3899999999</v>
      </c>
      <c r="AQ19" s="23">
        <f>'C.1 Federal Expenditures'!AQ19+'C.2 State Expenditures'!AQ19</f>
        <v>0</v>
      </c>
      <c r="AR19" s="23">
        <f>'C.1 Federal Expenditures'!AR19+'C.2 State Expenditures'!AR19</f>
        <v>127752314.53</v>
      </c>
      <c r="AS19" s="23">
        <f>'C.1 Federal Expenditures'!AS19</f>
        <v>0</v>
      </c>
      <c r="AT19" s="23">
        <f>'C.1 Federal Expenditures'!AT19</f>
        <v>130547550.21000001</v>
      </c>
      <c r="AU19" s="8"/>
      <c r="AV19" s="8"/>
      <c r="AW19" s="8"/>
      <c r="AX19" s="8"/>
      <c r="AY19" s="8"/>
      <c r="AZ19" s="8"/>
      <c r="BA19" s="8"/>
      <c r="BB19" s="8"/>
      <c r="BC19" s="8"/>
      <c r="BD19" s="8"/>
      <c r="BE19" s="8"/>
    </row>
    <row r="20" spans="1:57" x14ac:dyDescent="0.25">
      <c r="A20" s="33" t="s">
        <v>131</v>
      </c>
      <c r="B20" s="23">
        <f>'C.1 Federal Expenditures'!B20+'C.2 State Expenditures'!B20</f>
        <v>101477697</v>
      </c>
      <c r="C20" s="23">
        <f>'C.1 Federal Expenditures'!C20+'C.2 State Expenditures'!C20</f>
        <v>0</v>
      </c>
      <c r="D20" s="23">
        <f>'C.1 Federal Expenditures'!D20+'C.2 State Expenditures'!D20</f>
        <v>10147768</v>
      </c>
      <c r="E20" s="23">
        <f>'C.1 Federal Expenditures'!E20+'C.2 State Expenditures'!E20</f>
        <v>91329929</v>
      </c>
      <c r="F20" s="23">
        <f>'C.1 Federal Expenditures'!F20+'C.2 State Expenditures'!F20</f>
        <v>70011940.159999996</v>
      </c>
      <c r="G20" s="23">
        <f>'C.1 Federal Expenditures'!G20+'C.2 State Expenditures'!G20</f>
        <v>9818693.75</v>
      </c>
      <c r="H20" s="23">
        <f>'C.1 Federal Expenditures'!H20+'C.2 State Expenditures'!H20</f>
        <v>9818693.75</v>
      </c>
      <c r="I20" s="23">
        <f>'C.1 Federal Expenditures'!I20+'C.2 State Expenditures'!I20</f>
        <v>0</v>
      </c>
      <c r="J20" s="23">
        <f>'C.1 Federal Expenditures'!J20+'C.2 State Expenditures'!J20</f>
        <v>28523115.899999999</v>
      </c>
      <c r="K20" s="23">
        <f>'C.1 Federal Expenditures'!K20+'C.2 State Expenditures'!K20</f>
        <v>28523115.899999999</v>
      </c>
      <c r="L20" s="23">
        <f>'C.1 Federal Expenditures'!L20+'C.2 State Expenditures'!L20</f>
        <v>0</v>
      </c>
      <c r="M20" s="23">
        <f>'C.1 Federal Expenditures'!M20+'C.2 State Expenditures'!M20</f>
        <v>0</v>
      </c>
      <c r="N20" s="23">
        <f>'C.1 Federal Expenditures'!N20+'C.2 State Expenditures'!N20</f>
        <v>265700.31</v>
      </c>
      <c r="O20" s="23">
        <f>'C.1 Federal Expenditures'!O20+'C.2 State Expenditures'!O20</f>
        <v>265700.31</v>
      </c>
      <c r="P20" s="23">
        <f>'C.1 Federal Expenditures'!P20+'C.2 State Expenditures'!P20</f>
        <v>0</v>
      </c>
      <c r="Q20" s="23">
        <f>'C.1 Federal Expenditures'!Q20+'C.2 State Expenditures'!Q20</f>
        <v>0</v>
      </c>
      <c r="R20" s="23">
        <f>'C.1 Federal Expenditures'!R20+'C.2 State Expenditures'!R20</f>
        <v>859691.69</v>
      </c>
      <c r="S20" s="23">
        <f>'C.1 Federal Expenditures'!S20+'C.2 State Expenditures'!S20</f>
        <v>0</v>
      </c>
      <c r="T20" s="23">
        <f>'C.1 Federal Expenditures'!T20+'C.2 State Expenditures'!T20</f>
        <v>79759.94</v>
      </c>
      <c r="U20" s="23">
        <f>'C.1 Federal Expenditures'!U20+'C.2 State Expenditures'!U20</f>
        <v>779931.75</v>
      </c>
      <c r="V20" s="23">
        <f>'C.1 Federal Expenditures'!V20+'C.2 State Expenditures'!V20</f>
        <v>433726.94999999995</v>
      </c>
      <c r="W20" s="23">
        <f>'C.1 Federal Expenditures'!W20+'C.2 State Expenditures'!W20</f>
        <v>39753370</v>
      </c>
      <c r="X20" s="23">
        <f>'C.1 Federal Expenditures'!X20+'C.2 State Expenditures'!X20</f>
        <v>6673024</v>
      </c>
      <c r="Y20" s="23">
        <f>'C.1 Federal Expenditures'!Y20+'C.2 State Expenditures'!Y20</f>
        <v>33080346</v>
      </c>
      <c r="Z20" s="23">
        <f>'C.1 Federal Expenditures'!Z20+'C.2 State Expenditures'!Z20</f>
        <v>0</v>
      </c>
      <c r="AA20" s="23">
        <f>'C.1 Federal Expenditures'!AA20+'C.2 State Expenditures'!AA20</f>
        <v>35335709</v>
      </c>
      <c r="AB20" s="23">
        <f>'C.1 Federal Expenditures'!AB20+'C.2 State Expenditures'!AB20</f>
        <v>0</v>
      </c>
      <c r="AC20" s="23">
        <f>'C.1 Federal Expenditures'!AC20+'C.2 State Expenditures'!AC20</f>
        <v>0</v>
      </c>
      <c r="AD20" s="23">
        <f>'C.1 Federal Expenditures'!AD20+'C.2 State Expenditures'!AD20</f>
        <v>4086505.63</v>
      </c>
      <c r="AE20" s="23">
        <f>'C.1 Federal Expenditures'!AE20+'C.2 State Expenditures'!AE20</f>
        <v>14327715.059999999</v>
      </c>
      <c r="AF20" s="23">
        <f>'C.1 Federal Expenditures'!AF20+'C.2 State Expenditures'!AF20</f>
        <v>0</v>
      </c>
      <c r="AG20" s="23">
        <f>'C.1 Federal Expenditures'!AG20+'C.2 State Expenditures'!AG20</f>
        <v>2702310.42</v>
      </c>
      <c r="AH20" s="23">
        <f>'C.1 Federal Expenditures'!AH20+'C.2 State Expenditures'!AH20</f>
        <v>2937634.43</v>
      </c>
      <c r="AI20" s="23">
        <f>'C.1 Federal Expenditures'!AI20+'C.2 State Expenditures'!AI20</f>
        <v>2937634.43</v>
      </c>
      <c r="AJ20" s="23">
        <f>'C.1 Federal Expenditures'!AJ20+'C.2 State Expenditures'!AJ20</f>
        <v>0</v>
      </c>
      <c r="AK20" s="23">
        <f>'C.1 Federal Expenditures'!AK20+'C.2 State Expenditures'!AK20</f>
        <v>0</v>
      </c>
      <c r="AL20" s="23">
        <f>'C.1 Federal Expenditures'!AL20+'C.2 State Expenditures'!AL20</f>
        <v>6703945.1200000001</v>
      </c>
      <c r="AM20" s="23">
        <f>'C.1 Federal Expenditures'!AM20+'C.2 State Expenditures'!AM20</f>
        <v>15472974.16</v>
      </c>
      <c r="AN20" s="23">
        <f>'C.1 Federal Expenditures'!AN20+'C.2 State Expenditures'!AN20</f>
        <v>8744161.4399999995</v>
      </c>
      <c r="AO20" s="23">
        <f>'C.1 Federal Expenditures'!AO20+'C.2 State Expenditures'!AO20</f>
        <v>4135953.56</v>
      </c>
      <c r="AP20" s="23">
        <f>'C.1 Federal Expenditures'!AP20+'C.2 State Expenditures'!AP20</f>
        <v>2592859.16</v>
      </c>
      <c r="AQ20" s="23">
        <f>'C.1 Federal Expenditures'!AQ20+'C.2 State Expenditures'!AQ20</f>
        <v>0</v>
      </c>
      <c r="AR20" s="23">
        <f>'C.1 Federal Expenditures'!AR20+'C.2 State Expenditures'!AR20</f>
        <v>161221092.41</v>
      </c>
      <c r="AS20" s="23">
        <f>'C.1 Federal Expenditures'!AS20</f>
        <v>3612824.32</v>
      </c>
      <c r="AT20" s="23">
        <f>'C.1 Federal Expenditures'!AT20</f>
        <v>71597031.420000002</v>
      </c>
      <c r="AU20" s="8"/>
      <c r="AV20" s="8"/>
      <c r="AW20" s="8"/>
      <c r="AX20" s="8"/>
      <c r="AY20" s="8"/>
      <c r="AZ20" s="8"/>
      <c r="BA20" s="8"/>
      <c r="BB20" s="8"/>
      <c r="BC20" s="8"/>
      <c r="BD20" s="8"/>
      <c r="BE20" s="8"/>
    </row>
    <row r="21" spans="1:57" x14ac:dyDescent="0.25">
      <c r="A21" s="33" t="s">
        <v>132</v>
      </c>
      <c r="B21" s="23">
        <f>'C.1 Federal Expenditures'!B21+'C.2 State Expenditures'!B21</f>
        <v>180689420</v>
      </c>
      <c r="C21" s="23">
        <f>'C.1 Federal Expenditures'!C21+'C.2 State Expenditures'!C21</f>
        <v>0</v>
      </c>
      <c r="D21" s="23">
        <f>'C.1 Federal Expenditures'!D21+'C.2 State Expenditures'!D21</f>
        <v>0</v>
      </c>
      <c r="E21" s="23">
        <f>'C.1 Federal Expenditures'!E21+'C.2 State Expenditures'!E21</f>
        <v>180689420</v>
      </c>
      <c r="F21" s="23">
        <f>'C.1 Federal Expenditures'!F21+'C.2 State Expenditures'!F21</f>
        <v>109479949.44</v>
      </c>
      <c r="G21" s="23">
        <f>'C.1 Federal Expenditures'!G21+'C.2 State Expenditures'!G21</f>
        <v>78014706.469999999</v>
      </c>
      <c r="H21" s="23">
        <f>'C.1 Federal Expenditures'!H21+'C.2 State Expenditures'!H21</f>
        <v>73589710.670000002</v>
      </c>
      <c r="I21" s="23">
        <f>'C.1 Federal Expenditures'!I21+'C.2 State Expenditures'!I21</f>
        <v>4424995.8</v>
      </c>
      <c r="J21" s="23">
        <f>'C.1 Federal Expenditures'!J21+'C.2 State Expenditures'!J21</f>
        <v>87999999.960000008</v>
      </c>
      <c r="K21" s="23">
        <f>'C.1 Federal Expenditures'!K21+'C.2 State Expenditures'!K21</f>
        <v>0</v>
      </c>
      <c r="L21" s="23">
        <f>'C.1 Federal Expenditures'!L21+'C.2 State Expenditures'!L21</f>
        <v>0</v>
      </c>
      <c r="M21" s="23">
        <f>'C.1 Federal Expenditures'!M21+'C.2 State Expenditures'!M21</f>
        <v>87999999.960000008</v>
      </c>
      <c r="N21" s="23">
        <f>'C.1 Federal Expenditures'!N21+'C.2 State Expenditures'!N21</f>
        <v>0</v>
      </c>
      <c r="O21" s="23">
        <f>'C.1 Federal Expenditures'!O21+'C.2 State Expenditures'!O21</f>
        <v>0</v>
      </c>
      <c r="P21" s="23">
        <f>'C.1 Federal Expenditures'!P21+'C.2 State Expenditures'!P21</f>
        <v>0</v>
      </c>
      <c r="Q21" s="23">
        <f>'C.1 Federal Expenditures'!Q21+'C.2 State Expenditures'!Q21</f>
        <v>0</v>
      </c>
      <c r="R21" s="23">
        <f>'C.1 Federal Expenditures'!R21+'C.2 State Expenditures'!R21</f>
        <v>27871289.559999999</v>
      </c>
      <c r="S21" s="23">
        <f>'C.1 Federal Expenditures'!S21+'C.2 State Expenditures'!S21</f>
        <v>9515354.9800000004</v>
      </c>
      <c r="T21" s="23">
        <f>'C.1 Federal Expenditures'!T21+'C.2 State Expenditures'!T21</f>
        <v>322786.14999999997</v>
      </c>
      <c r="U21" s="23">
        <f>'C.1 Federal Expenditures'!U21+'C.2 State Expenditures'!U21</f>
        <v>18033148.43</v>
      </c>
      <c r="V21" s="23">
        <f>'C.1 Federal Expenditures'!V21+'C.2 State Expenditures'!V21</f>
        <v>18082560.59</v>
      </c>
      <c r="W21" s="23">
        <f>'C.1 Federal Expenditures'!W21+'C.2 State Expenditures'!W21</f>
        <v>42185546.049999997</v>
      </c>
      <c r="X21" s="23">
        <f>'C.1 Federal Expenditures'!X21+'C.2 State Expenditures'!X21</f>
        <v>42185546.049999997</v>
      </c>
      <c r="Y21" s="23">
        <f>'C.1 Federal Expenditures'!Y21+'C.2 State Expenditures'!Y21</f>
        <v>0</v>
      </c>
      <c r="Z21" s="23">
        <f>'C.1 Federal Expenditures'!Z21+'C.2 State Expenditures'!Z21</f>
        <v>0</v>
      </c>
      <c r="AA21" s="23">
        <f>'C.1 Federal Expenditures'!AA21+'C.2 State Expenditures'!AA21</f>
        <v>0</v>
      </c>
      <c r="AB21" s="23">
        <f>'C.1 Federal Expenditures'!AB21+'C.2 State Expenditures'!AB21</f>
        <v>0</v>
      </c>
      <c r="AC21" s="23">
        <f>'C.1 Federal Expenditures'!AC21+'C.2 State Expenditures'!AC21</f>
        <v>1203513.4100000001</v>
      </c>
      <c r="AD21" s="23">
        <f>'C.1 Federal Expenditures'!AD21+'C.2 State Expenditures'!AD21</f>
        <v>168574.07999999999</v>
      </c>
      <c r="AE21" s="23">
        <f>'C.1 Federal Expenditures'!AE21+'C.2 State Expenditures'!AE21</f>
        <v>0</v>
      </c>
      <c r="AF21" s="23">
        <f>'C.1 Federal Expenditures'!AF21+'C.2 State Expenditures'!AF21</f>
        <v>0</v>
      </c>
      <c r="AG21" s="23">
        <f>'C.1 Federal Expenditures'!AG21+'C.2 State Expenditures'!AG21</f>
        <v>544240.76</v>
      </c>
      <c r="AH21" s="23">
        <f>'C.1 Federal Expenditures'!AH21+'C.2 State Expenditures'!AH21</f>
        <v>35067945.019999996</v>
      </c>
      <c r="AI21" s="23">
        <f>'C.1 Federal Expenditures'!AI21+'C.2 State Expenditures'!AI21</f>
        <v>35067945.019999996</v>
      </c>
      <c r="AJ21" s="23">
        <f>'C.1 Federal Expenditures'!AJ21+'C.2 State Expenditures'!AJ21</f>
        <v>0</v>
      </c>
      <c r="AK21" s="23">
        <f>'C.1 Federal Expenditures'!AK21+'C.2 State Expenditures'!AK21</f>
        <v>0</v>
      </c>
      <c r="AL21" s="23">
        <f>'C.1 Federal Expenditures'!AL21+'C.2 State Expenditures'!AL21</f>
        <v>0</v>
      </c>
      <c r="AM21" s="23">
        <f>'C.1 Federal Expenditures'!AM21+'C.2 State Expenditures'!AM21</f>
        <v>21178402.77</v>
      </c>
      <c r="AN21" s="23">
        <f>'C.1 Federal Expenditures'!AN21+'C.2 State Expenditures'!AN21</f>
        <v>19185058.609999999</v>
      </c>
      <c r="AO21" s="23">
        <f>'C.1 Federal Expenditures'!AO21+'C.2 State Expenditures'!AO21</f>
        <v>0</v>
      </c>
      <c r="AP21" s="23">
        <f>'C.1 Federal Expenditures'!AP21+'C.2 State Expenditures'!AP21</f>
        <v>1993344.1600000001</v>
      </c>
      <c r="AQ21" s="23">
        <f>'C.1 Federal Expenditures'!AQ21+'C.2 State Expenditures'!AQ21</f>
        <v>0</v>
      </c>
      <c r="AR21" s="23">
        <f>'C.1 Federal Expenditures'!AR21+'C.2 State Expenditures'!AR21</f>
        <v>312316778.66000003</v>
      </c>
      <c r="AS21" s="23">
        <f>'C.1 Federal Expenditures'!AS21</f>
        <v>0</v>
      </c>
      <c r="AT21" s="23">
        <f>'C.1 Federal Expenditures'!AT21</f>
        <v>52815648.960000001</v>
      </c>
      <c r="AU21" s="8"/>
      <c r="AV21" s="8"/>
      <c r="AW21" s="8"/>
      <c r="AX21" s="8"/>
      <c r="AY21" s="8"/>
      <c r="AZ21" s="8"/>
      <c r="BA21" s="8"/>
      <c r="BB21" s="8"/>
      <c r="BC21" s="8"/>
      <c r="BD21" s="8"/>
      <c r="BE21" s="8"/>
    </row>
    <row r="22" spans="1:57" x14ac:dyDescent="0.25">
      <c r="A22" s="33" t="s">
        <v>133</v>
      </c>
      <c r="B22" s="23">
        <f>'C.1 Federal Expenditures'!B22+'C.2 State Expenditures'!B22</f>
        <v>163430877</v>
      </c>
      <c r="C22" s="23">
        <f>'C.1 Federal Expenditures'!C22+'C.2 State Expenditures'!C22</f>
        <v>0</v>
      </c>
      <c r="D22" s="23">
        <f>'C.1 Federal Expenditures'!D22+'C.2 State Expenditures'!D22</f>
        <v>3788246</v>
      </c>
      <c r="E22" s="23">
        <f>'C.1 Federal Expenditures'!E22+'C.2 State Expenditures'!E22</f>
        <v>159642631</v>
      </c>
      <c r="F22" s="23">
        <f>'C.1 Federal Expenditures'!F22+'C.2 State Expenditures'!F22</f>
        <v>25579850</v>
      </c>
      <c r="G22" s="23">
        <f>'C.1 Federal Expenditures'!G22+'C.2 State Expenditures'!G22</f>
        <v>33332996</v>
      </c>
      <c r="H22" s="23">
        <f>'C.1 Federal Expenditures'!H22+'C.2 State Expenditures'!H22</f>
        <v>33332996</v>
      </c>
      <c r="I22" s="23">
        <f>'C.1 Federal Expenditures'!I22+'C.2 State Expenditures'!I22</f>
        <v>0</v>
      </c>
      <c r="J22" s="23">
        <f>'C.1 Federal Expenditures'!J22+'C.2 State Expenditures'!J22</f>
        <v>0</v>
      </c>
      <c r="K22" s="23">
        <f>'C.1 Federal Expenditures'!K22+'C.2 State Expenditures'!K22</f>
        <v>0</v>
      </c>
      <c r="L22" s="23">
        <f>'C.1 Federal Expenditures'!L22+'C.2 State Expenditures'!L22</f>
        <v>0</v>
      </c>
      <c r="M22" s="23">
        <f>'C.1 Federal Expenditures'!M22+'C.2 State Expenditures'!M22</f>
        <v>0</v>
      </c>
      <c r="N22" s="23">
        <f>'C.1 Federal Expenditures'!N22+'C.2 State Expenditures'!N22</f>
        <v>12470184</v>
      </c>
      <c r="O22" s="23">
        <f>'C.1 Federal Expenditures'!O22+'C.2 State Expenditures'!O22</f>
        <v>0</v>
      </c>
      <c r="P22" s="23">
        <f>'C.1 Federal Expenditures'!P22+'C.2 State Expenditures'!P22</f>
        <v>0</v>
      </c>
      <c r="Q22" s="23">
        <f>'C.1 Federal Expenditures'!Q22+'C.2 State Expenditures'!Q22</f>
        <v>12470184</v>
      </c>
      <c r="R22" s="23">
        <f>'C.1 Federal Expenditures'!R22+'C.2 State Expenditures'!R22</f>
        <v>161696169</v>
      </c>
      <c r="S22" s="23">
        <f>'C.1 Federal Expenditures'!S22+'C.2 State Expenditures'!S22</f>
        <v>0</v>
      </c>
      <c r="T22" s="23">
        <f>'C.1 Federal Expenditures'!T22+'C.2 State Expenditures'!T22</f>
        <v>161650768</v>
      </c>
      <c r="U22" s="23">
        <f>'C.1 Federal Expenditures'!U22+'C.2 State Expenditures'!U22</f>
        <v>45401</v>
      </c>
      <c r="V22" s="23">
        <f>'C.1 Federal Expenditures'!V22+'C.2 State Expenditures'!V22</f>
        <v>5211379</v>
      </c>
      <c r="W22" s="23">
        <f>'C.1 Federal Expenditures'!W22+'C.2 State Expenditures'!W22</f>
        <v>37362579</v>
      </c>
      <c r="X22" s="23">
        <f>'C.1 Federal Expenditures'!X22+'C.2 State Expenditures'!X22</f>
        <v>7788564</v>
      </c>
      <c r="Y22" s="23">
        <f>'C.1 Federal Expenditures'!Y22+'C.2 State Expenditures'!Y22</f>
        <v>29574015</v>
      </c>
      <c r="Z22" s="23">
        <f>'C.1 Federal Expenditures'!Z22+'C.2 State Expenditures'!Z22</f>
        <v>670754</v>
      </c>
      <c r="AA22" s="23">
        <f>'C.1 Federal Expenditures'!AA22+'C.2 State Expenditures'!AA22</f>
        <v>15931817</v>
      </c>
      <c r="AB22" s="23">
        <f>'C.1 Federal Expenditures'!AB22+'C.2 State Expenditures'!AB22</f>
        <v>0</v>
      </c>
      <c r="AC22" s="23">
        <f>'C.1 Federal Expenditures'!AC22+'C.2 State Expenditures'!AC22</f>
        <v>35</v>
      </c>
      <c r="AD22" s="23">
        <f>'C.1 Federal Expenditures'!AD22+'C.2 State Expenditures'!AD22</f>
        <v>14669516</v>
      </c>
      <c r="AE22" s="23">
        <f>'C.1 Federal Expenditures'!AE22+'C.2 State Expenditures'!AE22</f>
        <v>811500</v>
      </c>
      <c r="AF22" s="23">
        <f>'C.1 Federal Expenditures'!AF22+'C.2 State Expenditures'!AF22</f>
        <v>0</v>
      </c>
      <c r="AG22" s="23">
        <f>'C.1 Federal Expenditures'!AG22+'C.2 State Expenditures'!AG22</f>
        <v>1193451</v>
      </c>
      <c r="AH22" s="23">
        <f>'C.1 Federal Expenditures'!AH22+'C.2 State Expenditures'!AH22</f>
        <v>30132165</v>
      </c>
      <c r="AI22" s="23">
        <f>'C.1 Federal Expenditures'!AI22+'C.2 State Expenditures'!AI22</f>
        <v>1802534</v>
      </c>
      <c r="AJ22" s="23">
        <f>'C.1 Federal Expenditures'!AJ22+'C.2 State Expenditures'!AJ22</f>
        <v>0</v>
      </c>
      <c r="AK22" s="23">
        <f>'C.1 Federal Expenditures'!AK22+'C.2 State Expenditures'!AK22</f>
        <v>28329631</v>
      </c>
      <c r="AL22" s="23">
        <f>'C.1 Federal Expenditures'!AL22+'C.2 State Expenditures'!AL22</f>
        <v>2373826</v>
      </c>
      <c r="AM22" s="23">
        <f>'C.1 Federal Expenditures'!AM22+'C.2 State Expenditures'!AM22</f>
        <v>30439542</v>
      </c>
      <c r="AN22" s="23">
        <f>'C.1 Federal Expenditures'!AN22+'C.2 State Expenditures'!AN22</f>
        <v>18589629</v>
      </c>
      <c r="AO22" s="23">
        <f>'C.1 Federal Expenditures'!AO22+'C.2 State Expenditures'!AO22</f>
        <v>10826814</v>
      </c>
      <c r="AP22" s="23">
        <f>'C.1 Federal Expenditures'!AP22+'C.2 State Expenditures'!AP22</f>
        <v>1023099</v>
      </c>
      <c r="AQ22" s="23">
        <f>'C.1 Federal Expenditures'!AQ22+'C.2 State Expenditures'!AQ22</f>
        <v>0</v>
      </c>
      <c r="AR22" s="23">
        <f>'C.1 Federal Expenditures'!AR22+'C.2 State Expenditures'!AR22</f>
        <v>346295913</v>
      </c>
      <c r="AS22" s="23">
        <f>'C.1 Federal Expenditures'!AS22</f>
        <v>20125355</v>
      </c>
      <c r="AT22" s="23">
        <f>'C.1 Federal Expenditures'!AT22</f>
        <v>0</v>
      </c>
      <c r="AU22" s="8"/>
      <c r="AV22" s="8"/>
      <c r="AW22" s="8"/>
      <c r="AX22" s="8"/>
      <c r="AY22" s="8"/>
      <c r="AZ22" s="8"/>
      <c r="BA22" s="8"/>
      <c r="BB22" s="8"/>
      <c r="BC22" s="8"/>
      <c r="BD22" s="8"/>
      <c r="BE22" s="8"/>
    </row>
    <row r="23" spans="1:57" x14ac:dyDescent="0.25">
      <c r="A23" s="33" t="s">
        <v>134</v>
      </c>
      <c r="B23" s="23">
        <f>'C.1 Federal Expenditures'!B23+'C.2 State Expenditures'!B23</f>
        <v>77863090</v>
      </c>
      <c r="C23" s="23">
        <f>'C.1 Federal Expenditures'!C23+'C.2 State Expenditures'!C23</f>
        <v>5932401</v>
      </c>
      <c r="D23" s="23">
        <f>'C.1 Federal Expenditures'!D23+'C.2 State Expenditures'!D23</f>
        <v>7786309</v>
      </c>
      <c r="E23" s="23">
        <f>'C.1 Federal Expenditures'!E23+'C.2 State Expenditures'!E23</f>
        <v>64144380</v>
      </c>
      <c r="F23" s="23">
        <f>'C.1 Federal Expenditures'!F23+'C.2 State Expenditures'!F23</f>
        <v>69145999.75</v>
      </c>
      <c r="G23" s="23">
        <f>'C.1 Federal Expenditures'!G23+'C.2 State Expenditures'!G23</f>
        <v>54834900.32</v>
      </c>
      <c r="H23" s="23">
        <f>'C.1 Federal Expenditures'!H23+'C.2 State Expenditures'!H23</f>
        <v>54834900.32</v>
      </c>
      <c r="I23" s="23">
        <f>'C.1 Federal Expenditures'!I23+'C.2 State Expenditures'!I23</f>
        <v>0</v>
      </c>
      <c r="J23" s="23">
        <f>'C.1 Federal Expenditures'!J23+'C.2 State Expenditures'!J23</f>
        <v>0</v>
      </c>
      <c r="K23" s="23">
        <f>'C.1 Federal Expenditures'!K23+'C.2 State Expenditures'!K23</f>
        <v>0</v>
      </c>
      <c r="L23" s="23">
        <f>'C.1 Federal Expenditures'!L23+'C.2 State Expenditures'!L23</f>
        <v>0</v>
      </c>
      <c r="M23" s="23">
        <f>'C.1 Federal Expenditures'!M23+'C.2 State Expenditures'!M23</f>
        <v>0</v>
      </c>
      <c r="N23" s="23">
        <f>'C.1 Federal Expenditures'!N23+'C.2 State Expenditures'!N23</f>
        <v>0</v>
      </c>
      <c r="O23" s="23">
        <f>'C.1 Federal Expenditures'!O23+'C.2 State Expenditures'!O23</f>
        <v>0</v>
      </c>
      <c r="P23" s="23">
        <f>'C.1 Federal Expenditures'!P23+'C.2 State Expenditures'!P23</f>
        <v>0</v>
      </c>
      <c r="Q23" s="23">
        <f>'C.1 Federal Expenditures'!Q23+'C.2 State Expenditures'!Q23</f>
        <v>0</v>
      </c>
      <c r="R23" s="23">
        <f>'C.1 Federal Expenditures'!R23+'C.2 State Expenditures'!R23</f>
        <v>18250732.109999999</v>
      </c>
      <c r="S23" s="23">
        <f>'C.1 Federal Expenditures'!S23+'C.2 State Expenditures'!S23</f>
        <v>0</v>
      </c>
      <c r="T23" s="23">
        <f>'C.1 Federal Expenditures'!T23+'C.2 State Expenditures'!T23</f>
        <v>2436778.8600000003</v>
      </c>
      <c r="U23" s="23">
        <f>'C.1 Federal Expenditures'!U23+'C.2 State Expenditures'!U23</f>
        <v>15813953.25</v>
      </c>
      <c r="V23" s="23">
        <f>'C.1 Federal Expenditures'!V23+'C.2 State Expenditures'!V23</f>
        <v>5110899.45</v>
      </c>
      <c r="W23" s="23">
        <f>'C.1 Federal Expenditures'!W23+'C.2 State Expenditures'!W23</f>
        <v>10951457.65</v>
      </c>
      <c r="X23" s="23">
        <f>'C.1 Federal Expenditures'!X23+'C.2 State Expenditures'!X23</f>
        <v>8966350.2300000004</v>
      </c>
      <c r="Y23" s="23">
        <f>'C.1 Federal Expenditures'!Y23+'C.2 State Expenditures'!Y23</f>
        <v>1985107.42</v>
      </c>
      <c r="Z23" s="23">
        <f>'C.1 Federal Expenditures'!Z23+'C.2 State Expenditures'!Z23</f>
        <v>27545.03</v>
      </c>
      <c r="AA23" s="23">
        <f>'C.1 Federal Expenditures'!AA23+'C.2 State Expenditures'!AA23</f>
        <v>31272539.760000002</v>
      </c>
      <c r="AB23" s="23">
        <f>'C.1 Federal Expenditures'!AB23+'C.2 State Expenditures'!AB23</f>
        <v>351102.83</v>
      </c>
      <c r="AC23" s="23">
        <f>'C.1 Federal Expenditures'!AC23+'C.2 State Expenditures'!AC23</f>
        <v>9773950.8499999996</v>
      </c>
      <c r="AD23" s="23">
        <f>'C.1 Federal Expenditures'!AD23+'C.2 State Expenditures'!AD23</f>
        <v>4483215.28</v>
      </c>
      <c r="AE23" s="23">
        <f>'C.1 Federal Expenditures'!AE23+'C.2 State Expenditures'!AE23</f>
        <v>13500271.629999999</v>
      </c>
      <c r="AF23" s="23">
        <f>'C.1 Federal Expenditures'!AF23+'C.2 State Expenditures'!AF23</f>
        <v>0</v>
      </c>
      <c r="AG23" s="23">
        <f>'C.1 Federal Expenditures'!AG23+'C.2 State Expenditures'!AG23</f>
        <v>0</v>
      </c>
      <c r="AH23" s="23">
        <f>'C.1 Federal Expenditures'!AH23+'C.2 State Expenditures'!AH23</f>
        <v>13920964.32</v>
      </c>
      <c r="AI23" s="23">
        <f>'C.1 Federal Expenditures'!AI23+'C.2 State Expenditures'!AI23</f>
        <v>5178965.75</v>
      </c>
      <c r="AJ23" s="23">
        <f>'C.1 Federal Expenditures'!AJ23+'C.2 State Expenditures'!AJ23</f>
        <v>0</v>
      </c>
      <c r="AK23" s="23">
        <f>'C.1 Federal Expenditures'!AK23+'C.2 State Expenditures'!AK23</f>
        <v>8741998.5700000003</v>
      </c>
      <c r="AL23" s="23">
        <f>'C.1 Federal Expenditures'!AL23+'C.2 State Expenditures'!AL23</f>
        <v>43218.239999999998</v>
      </c>
      <c r="AM23" s="23">
        <f>'C.1 Federal Expenditures'!AM23+'C.2 State Expenditures'!AM23</f>
        <v>10096456.689999999</v>
      </c>
      <c r="AN23" s="23">
        <f>'C.1 Federal Expenditures'!AN23+'C.2 State Expenditures'!AN23</f>
        <v>5530096.4699999997</v>
      </c>
      <c r="AO23" s="23">
        <f>'C.1 Federal Expenditures'!AO23+'C.2 State Expenditures'!AO23</f>
        <v>4209730.57</v>
      </c>
      <c r="AP23" s="23">
        <f>'C.1 Federal Expenditures'!AP23+'C.2 State Expenditures'!AP23</f>
        <v>356629.65</v>
      </c>
      <c r="AQ23" s="23">
        <f>'C.1 Federal Expenditures'!AQ23+'C.2 State Expenditures'!AQ23</f>
        <v>0</v>
      </c>
      <c r="AR23" s="23">
        <f>'C.1 Federal Expenditures'!AR23+'C.2 State Expenditures'!AR23</f>
        <v>172617254.14999998</v>
      </c>
      <c r="AS23" s="23">
        <f>'C.1 Federal Expenditures'!AS23</f>
        <v>16090161.689999999</v>
      </c>
      <c r="AT23" s="23">
        <f>'C.1 Federal Expenditures'!AT23</f>
        <v>23536703.760000002</v>
      </c>
      <c r="AU23" s="8"/>
      <c r="AV23" s="8"/>
      <c r="AW23" s="8"/>
      <c r="AX23" s="8"/>
      <c r="AY23" s="8"/>
      <c r="AZ23" s="8"/>
      <c r="BA23" s="8"/>
      <c r="BB23" s="8"/>
      <c r="BC23" s="8"/>
      <c r="BD23" s="8"/>
      <c r="BE23" s="8"/>
    </row>
    <row r="24" spans="1:57" x14ac:dyDescent="0.25">
      <c r="A24" s="33" t="s">
        <v>135</v>
      </c>
      <c r="B24" s="23">
        <f>'C.1 Federal Expenditures'!B24+'C.2 State Expenditures'!B24</f>
        <v>254369802.46000001</v>
      </c>
      <c r="C24" s="23">
        <f>'C.1 Federal Expenditures'!C24+'C.2 State Expenditures'!C24</f>
        <v>0</v>
      </c>
      <c r="D24" s="23">
        <f>'C.1 Federal Expenditures'!D24+'C.2 State Expenditures'!D24</f>
        <v>22834200</v>
      </c>
      <c r="E24" s="23">
        <f>'C.1 Federal Expenditures'!E24+'C.2 State Expenditures'!E24</f>
        <v>205507808</v>
      </c>
      <c r="F24" s="23">
        <f>'C.1 Federal Expenditures'!F24+'C.2 State Expenditures'!F24</f>
        <v>40687628</v>
      </c>
      <c r="G24" s="23">
        <f>'C.1 Federal Expenditures'!G24+'C.2 State Expenditures'!G24</f>
        <v>139982898.46000001</v>
      </c>
      <c r="H24" s="23">
        <f>'C.1 Federal Expenditures'!H24+'C.2 State Expenditures'!H24</f>
        <v>139982898.46000001</v>
      </c>
      <c r="I24" s="23">
        <f>'C.1 Federal Expenditures'!I24+'C.2 State Expenditures'!I24</f>
        <v>0</v>
      </c>
      <c r="J24" s="23">
        <f>'C.1 Federal Expenditures'!J24+'C.2 State Expenditures'!J24</f>
        <v>0</v>
      </c>
      <c r="K24" s="23">
        <f>'C.1 Federal Expenditures'!K24+'C.2 State Expenditures'!K24</f>
        <v>0</v>
      </c>
      <c r="L24" s="23">
        <f>'C.1 Federal Expenditures'!L24+'C.2 State Expenditures'!L24</f>
        <v>0</v>
      </c>
      <c r="M24" s="23">
        <f>'C.1 Federal Expenditures'!M24+'C.2 State Expenditures'!M24</f>
        <v>0</v>
      </c>
      <c r="N24" s="23">
        <f>'C.1 Federal Expenditures'!N24+'C.2 State Expenditures'!N24</f>
        <v>0</v>
      </c>
      <c r="O24" s="23">
        <f>'C.1 Federal Expenditures'!O24+'C.2 State Expenditures'!O24</f>
        <v>0</v>
      </c>
      <c r="P24" s="23">
        <f>'C.1 Federal Expenditures'!P24+'C.2 State Expenditures'!P24</f>
        <v>0</v>
      </c>
      <c r="Q24" s="23">
        <f>'C.1 Federal Expenditures'!Q24+'C.2 State Expenditures'!Q24</f>
        <v>0</v>
      </c>
      <c r="R24" s="23">
        <f>'C.1 Federal Expenditures'!R24+'C.2 State Expenditures'!R24</f>
        <v>19766416</v>
      </c>
      <c r="S24" s="23">
        <f>'C.1 Federal Expenditures'!S24+'C.2 State Expenditures'!S24</f>
        <v>4252345</v>
      </c>
      <c r="T24" s="23">
        <f>'C.1 Federal Expenditures'!T24+'C.2 State Expenditures'!T24</f>
        <v>6262519</v>
      </c>
      <c r="U24" s="23">
        <f>'C.1 Federal Expenditures'!U24+'C.2 State Expenditures'!U24</f>
        <v>9251552</v>
      </c>
      <c r="V24" s="23">
        <f>'C.1 Federal Expenditures'!V24+'C.2 State Expenditures'!V24</f>
        <v>3506075</v>
      </c>
      <c r="W24" s="23">
        <f>'C.1 Federal Expenditures'!W24+'C.2 State Expenditures'!W24</f>
        <v>172604451</v>
      </c>
      <c r="X24" s="23">
        <f>'C.1 Federal Expenditures'!X24+'C.2 State Expenditures'!X24</f>
        <v>5821043</v>
      </c>
      <c r="Y24" s="23">
        <f>'C.1 Federal Expenditures'!Y24+'C.2 State Expenditures'!Y24</f>
        <v>166783408</v>
      </c>
      <c r="Z24" s="23">
        <f>'C.1 Federal Expenditures'!Z24+'C.2 State Expenditures'!Z24</f>
        <v>0</v>
      </c>
      <c r="AA24" s="23">
        <f>'C.1 Federal Expenditures'!AA24+'C.2 State Expenditures'!AA24</f>
        <v>310619357</v>
      </c>
      <c r="AB24" s="23">
        <f>'C.1 Federal Expenditures'!AB24+'C.2 State Expenditures'!AB24</f>
        <v>0</v>
      </c>
      <c r="AC24" s="23">
        <f>'C.1 Federal Expenditures'!AC24+'C.2 State Expenditures'!AC24</f>
        <v>7132226</v>
      </c>
      <c r="AD24" s="23">
        <f>'C.1 Federal Expenditures'!AD24+'C.2 State Expenditures'!AD24</f>
        <v>0</v>
      </c>
      <c r="AE24" s="23">
        <f>'C.1 Federal Expenditures'!AE24+'C.2 State Expenditures'!AE24</f>
        <v>0</v>
      </c>
      <c r="AF24" s="23">
        <f>'C.1 Federal Expenditures'!AF24+'C.2 State Expenditures'!AF24</f>
        <v>0</v>
      </c>
      <c r="AG24" s="23">
        <f>'C.1 Federal Expenditures'!AG24+'C.2 State Expenditures'!AG24</f>
        <v>1003590</v>
      </c>
      <c r="AH24" s="23">
        <f>'C.1 Federal Expenditures'!AH24+'C.2 State Expenditures'!AH24</f>
        <v>27341049</v>
      </c>
      <c r="AI24" s="23">
        <f>'C.1 Federal Expenditures'!AI24+'C.2 State Expenditures'!AI24</f>
        <v>17086231</v>
      </c>
      <c r="AJ24" s="23">
        <f>'C.1 Federal Expenditures'!AJ24+'C.2 State Expenditures'!AJ24</f>
        <v>0</v>
      </c>
      <c r="AK24" s="23">
        <f>'C.1 Federal Expenditures'!AK24+'C.2 State Expenditures'!AK24</f>
        <v>10254818</v>
      </c>
      <c r="AL24" s="23">
        <f>'C.1 Federal Expenditures'!AL24+'C.2 State Expenditures'!AL24</f>
        <v>836035</v>
      </c>
      <c r="AM24" s="23">
        <f>'C.1 Federal Expenditures'!AM24+'C.2 State Expenditures'!AM24</f>
        <v>58312626</v>
      </c>
      <c r="AN24" s="23">
        <f>'C.1 Federal Expenditures'!AN24+'C.2 State Expenditures'!AN24</f>
        <v>24866662</v>
      </c>
      <c r="AO24" s="23">
        <f>'C.1 Federal Expenditures'!AO24+'C.2 State Expenditures'!AO24</f>
        <v>32720379</v>
      </c>
      <c r="AP24" s="23">
        <f>'C.1 Federal Expenditures'!AP24+'C.2 State Expenditures'!AP24</f>
        <v>725585</v>
      </c>
      <c r="AQ24" s="23">
        <f>'C.1 Federal Expenditures'!AQ24+'C.2 State Expenditures'!AQ24</f>
        <v>0</v>
      </c>
      <c r="AR24" s="23">
        <f>'C.1 Federal Expenditures'!AR24+'C.2 State Expenditures'!AR24</f>
        <v>741104723.46000004</v>
      </c>
      <c r="AS24" s="23">
        <f>'C.1 Federal Expenditures'!AS24</f>
        <v>0</v>
      </c>
      <c r="AT24" s="23">
        <f>'C.1 Federal Expenditures'!AT24</f>
        <v>90592571</v>
      </c>
      <c r="AU24" s="8"/>
      <c r="AV24" s="8"/>
      <c r="AW24" s="8"/>
      <c r="AX24" s="8"/>
      <c r="AY24" s="8"/>
      <c r="AZ24" s="8"/>
      <c r="BA24" s="8"/>
      <c r="BB24" s="8"/>
      <c r="BC24" s="8"/>
      <c r="BD24" s="8"/>
      <c r="BE24" s="8"/>
    </row>
    <row r="25" spans="1:57" x14ac:dyDescent="0.25">
      <c r="A25" s="33" t="s">
        <v>136</v>
      </c>
      <c r="B25" s="23">
        <f>'C.1 Federal Expenditures'!B25+'C.2 State Expenditures'!B25</f>
        <v>510044270.18000001</v>
      </c>
      <c r="C25" s="23">
        <f>'C.1 Federal Expenditures'!C25+'C.2 State Expenditures'!C25</f>
        <v>91570224</v>
      </c>
      <c r="D25" s="23">
        <f>'C.1 Federal Expenditures'!D25+'C.2 State Expenditures'!D25</f>
        <v>45785519</v>
      </c>
      <c r="E25" s="23">
        <f>'C.1 Federal Expenditures'!E25+'C.2 State Expenditures'!E25</f>
        <v>320499448</v>
      </c>
      <c r="F25" s="23">
        <f>'C.1 Federal Expenditures'!F25+'C.2 State Expenditures'!F25</f>
        <v>0</v>
      </c>
      <c r="G25" s="23">
        <f>'C.1 Federal Expenditures'!G25+'C.2 State Expenditures'!G25</f>
        <v>353175296.67000002</v>
      </c>
      <c r="H25" s="23">
        <f>'C.1 Federal Expenditures'!H25+'C.2 State Expenditures'!H25</f>
        <v>353175296.67000002</v>
      </c>
      <c r="I25" s="23">
        <f>'C.1 Federal Expenditures'!I25+'C.2 State Expenditures'!I25</f>
        <v>0</v>
      </c>
      <c r="J25" s="23">
        <f>'C.1 Federal Expenditures'!J25+'C.2 State Expenditures'!J25</f>
        <v>0</v>
      </c>
      <c r="K25" s="23">
        <f>'C.1 Federal Expenditures'!K25+'C.2 State Expenditures'!K25</f>
        <v>0</v>
      </c>
      <c r="L25" s="23">
        <f>'C.1 Federal Expenditures'!L25+'C.2 State Expenditures'!L25</f>
        <v>0</v>
      </c>
      <c r="M25" s="23">
        <f>'C.1 Federal Expenditures'!M25+'C.2 State Expenditures'!M25</f>
        <v>0</v>
      </c>
      <c r="N25" s="23">
        <f>'C.1 Federal Expenditures'!N25+'C.2 State Expenditures'!N25</f>
        <v>0</v>
      </c>
      <c r="O25" s="23">
        <f>'C.1 Federal Expenditures'!O25+'C.2 State Expenditures'!O25</f>
        <v>0</v>
      </c>
      <c r="P25" s="23">
        <f>'C.1 Federal Expenditures'!P25+'C.2 State Expenditures'!P25</f>
        <v>0</v>
      </c>
      <c r="Q25" s="23">
        <f>'C.1 Federal Expenditures'!Q25+'C.2 State Expenditures'!Q25</f>
        <v>0</v>
      </c>
      <c r="R25" s="23">
        <f>'C.1 Federal Expenditures'!R25+'C.2 State Expenditures'!R25</f>
        <v>155867475.50999999</v>
      </c>
      <c r="S25" s="23">
        <f>'C.1 Federal Expenditures'!S25+'C.2 State Expenditures'!S25</f>
        <v>0</v>
      </c>
      <c r="T25" s="23">
        <f>'C.1 Federal Expenditures'!T25+'C.2 State Expenditures'!T25</f>
        <v>145732095.50999999</v>
      </c>
      <c r="U25" s="23">
        <f>'C.1 Federal Expenditures'!U25+'C.2 State Expenditures'!U25</f>
        <v>10135380</v>
      </c>
      <c r="V25" s="23">
        <f>'C.1 Federal Expenditures'!V25+'C.2 State Expenditures'!V25</f>
        <v>12666088</v>
      </c>
      <c r="W25" s="23">
        <f>'C.1 Federal Expenditures'!W25+'C.2 State Expenditures'!W25</f>
        <v>274944368</v>
      </c>
      <c r="X25" s="23">
        <f>'C.1 Federal Expenditures'!X25+'C.2 State Expenditures'!X25</f>
        <v>274944368</v>
      </c>
      <c r="Y25" s="23">
        <f>'C.1 Federal Expenditures'!Y25+'C.2 State Expenditures'!Y25</f>
        <v>0</v>
      </c>
      <c r="Z25" s="23">
        <f>'C.1 Federal Expenditures'!Z25+'C.2 State Expenditures'!Z25</f>
        <v>0</v>
      </c>
      <c r="AA25" s="23">
        <f>'C.1 Federal Expenditures'!AA25+'C.2 State Expenditures'!AA25</f>
        <v>280915462</v>
      </c>
      <c r="AB25" s="23">
        <f>'C.1 Federal Expenditures'!AB25+'C.2 State Expenditures'!AB25</f>
        <v>0</v>
      </c>
      <c r="AC25" s="23">
        <f>'C.1 Federal Expenditures'!AC25+'C.2 State Expenditures'!AC25</f>
        <v>65397743</v>
      </c>
      <c r="AD25" s="23">
        <f>'C.1 Federal Expenditures'!AD25+'C.2 State Expenditures'!AD25</f>
        <v>22890751</v>
      </c>
      <c r="AE25" s="23">
        <f>'C.1 Federal Expenditures'!AE25+'C.2 State Expenditures'!AE25</f>
        <v>0</v>
      </c>
      <c r="AF25" s="23">
        <f>'C.1 Federal Expenditures'!AF25+'C.2 State Expenditures'!AF25</f>
        <v>11210783</v>
      </c>
      <c r="AG25" s="23">
        <f>'C.1 Federal Expenditures'!AG25+'C.2 State Expenditures'!AG25</f>
        <v>0</v>
      </c>
      <c r="AH25" s="23">
        <f>'C.1 Federal Expenditures'!AH25+'C.2 State Expenditures'!AH25</f>
        <v>14662476</v>
      </c>
      <c r="AI25" s="23">
        <f>'C.1 Federal Expenditures'!AI25+'C.2 State Expenditures'!AI25</f>
        <v>14662476</v>
      </c>
      <c r="AJ25" s="23">
        <f>'C.1 Federal Expenditures'!AJ25+'C.2 State Expenditures'!AJ25</f>
        <v>0</v>
      </c>
      <c r="AK25" s="23">
        <f>'C.1 Federal Expenditures'!AK25+'C.2 State Expenditures'!AK25</f>
        <v>0</v>
      </c>
      <c r="AL25" s="23">
        <f>'C.1 Federal Expenditures'!AL25+'C.2 State Expenditures'!AL25</f>
        <v>0</v>
      </c>
      <c r="AM25" s="23">
        <f>'C.1 Federal Expenditures'!AM25+'C.2 State Expenditures'!AM25</f>
        <v>56737058</v>
      </c>
      <c r="AN25" s="23">
        <f>'C.1 Federal Expenditures'!AN25+'C.2 State Expenditures'!AN25</f>
        <v>56737058</v>
      </c>
      <c r="AO25" s="23">
        <f>'C.1 Federal Expenditures'!AO25+'C.2 State Expenditures'!AO25</f>
        <v>0</v>
      </c>
      <c r="AP25" s="23">
        <f>'C.1 Federal Expenditures'!AP25+'C.2 State Expenditures'!AP25</f>
        <v>0</v>
      </c>
      <c r="AQ25" s="23">
        <f>'C.1 Federal Expenditures'!AQ25+'C.2 State Expenditures'!AQ25</f>
        <v>0</v>
      </c>
      <c r="AR25" s="23">
        <f>'C.1 Federal Expenditures'!AR25+'C.2 State Expenditures'!AR25</f>
        <v>1248467501.1800001</v>
      </c>
      <c r="AS25" s="23">
        <f>'C.1 Federal Expenditures'!AS25</f>
        <v>0</v>
      </c>
      <c r="AT25" s="23">
        <f>'C.1 Federal Expenditures'!AT25</f>
        <v>0</v>
      </c>
      <c r="AU25" s="8"/>
      <c r="AV25" s="8"/>
      <c r="AW25" s="8"/>
      <c r="AX25" s="8"/>
      <c r="AY25" s="8"/>
      <c r="AZ25" s="8"/>
      <c r="BA25" s="8"/>
      <c r="BB25" s="8"/>
      <c r="BC25" s="8"/>
      <c r="BD25" s="8"/>
      <c r="BE25" s="8"/>
    </row>
    <row r="26" spans="1:57" x14ac:dyDescent="0.25">
      <c r="A26" s="33" t="s">
        <v>137</v>
      </c>
      <c r="B26" s="23">
        <f>'C.1 Federal Expenditures'!B26+'C.2 State Expenditures'!B26</f>
        <v>772794194</v>
      </c>
      <c r="C26" s="23">
        <f>'C.1 Federal Expenditures'!C26+'C.2 State Expenditures'!C26</f>
        <v>8300000</v>
      </c>
      <c r="D26" s="23">
        <f>'C.1 Federal Expenditures'!D26+'C.2 State Expenditures'!D26</f>
        <v>77279419</v>
      </c>
      <c r="E26" s="23">
        <f>'C.1 Federal Expenditures'!E26+'C.2 State Expenditures'!E26</f>
        <v>687214775</v>
      </c>
      <c r="F26" s="23">
        <f>'C.1 Federal Expenditures'!F26+'C.2 State Expenditures'!F26</f>
        <v>108180117.56999999</v>
      </c>
      <c r="G26" s="23">
        <f>'C.1 Federal Expenditures'!G26+'C.2 State Expenditures'!G26</f>
        <v>109765921.39</v>
      </c>
      <c r="H26" s="23">
        <f>'C.1 Federal Expenditures'!H26+'C.2 State Expenditures'!H26</f>
        <v>47781011.049999997</v>
      </c>
      <c r="I26" s="23">
        <f>'C.1 Federal Expenditures'!I26+'C.2 State Expenditures'!I26</f>
        <v>61984910.340000004</v>
      </c>
      <c r="J26" s="23">
        <f>'C.1 Federal Expenditures'!J26+'C.2 State Expenditures'!J26</f>
        <v>15239598</v>
      </c>
      <c r="K26" s="23">
        <f>'C.1 Federal Expenditures'!K26+'C.2 State Expenditures'!K26</f>
        <v>15239598</v>
      </c>
      <c r="L26" s="23">
        <f>'C.1 Federal Expenditures'!L26+'C.2 State Expenditures'!L26</f>
        <v>0</v>
      </c>
      <c r="M26" s="23">
        <f>'C.1 Federal Expenditures'!M26+'C.2 State Expenditures'!M26</f>
        <v>0</v>
      </c>
      <c r="N26" s="23">
        <f>'C.1 Federal Expenditures'!N26+'C.2 State Expenditures'!N26</f>
        <v>109382.68</v>
      </c>
      <c r="O26" s="23">
        <f>'C.1 Federal Expenditures'!O26+'C.2 State Expenditures'!O26</f>
        <v>0</v>
      </c>
      <c r="P26" s="23">
        <f>'C.1 Federal Expenditures'!P26+'C.2 State Expenditures'!P26</f>
        <v>0</v>
      </c>
      <c r="Q26" s="23">
        <f>'C.1 Federal Expenditures'!Q26+'C.2 State Expenditures'!Q26</f>
        <v>109382.68</v>
      </c>
      <c r="R26" s="23">
        <f>'C.1 Federal Expenditures'!R26+'C.2 State Expenditures'!R26</f>
        <v>2271044.42</v>
      </c>
      <c r="S26" s="23">
        <f>'C.1 Federal Expenditures'!S26+'C.2 State Expenditures'!S26</f>
        <v>371434.62999999995</v>
      </c>
      <c r="T26" s="23">
        <f>'C.1 Federal Expenditures'!T26+'C.2 State Expenditures'!T26</f>
        <v>1899609.7999999998</v>
      </c>
      <c r="U26" s="23">
        <f>'C.1 Federal Expenditures'!U26+'C.2 State Expenditures'!U26</f>
        <v>0</v>
      </c>
      <c r="V26" s="23">
        <f>'C.1 Federal Expenditures'!V26+'C.2 State Expenditures'!V26</f>
        <v>55081583.270000003</v>
      </c>
      <c r="W26" s="23">
        <f>'C.1 Federal Expenditures'!W26+'C.2 State Expenditures'!W26</f>
        <v>353323072</v>
      </c>
      <c r="X26" s="23">
        <f>'C.1 Federal Expenditures'!X26+'C.2 State Expenditures'!X26</f>
        <v>19529091.199999999</v>
      </c>
      <c r="Y26" s="23">
        <f>'C.1 Federal Expenditures'!Y26+'C.2 State Expenditures'!Y26</f>
        <v>333793980.80000001</v>
      </c>
      <c r="Z26" s="23">
        <f>'C.1 Federal Expenditures'!Z26+'C.2 State Expenditures'!Z26</f>
        <v>0</v>
      </c>
      <c r="AA26" s="23">
        <f>'C.1 Federal Expenditures'!AA26+'C.2 State Expenditures'!AA26</f>
        <v>371200946.56</v>
      </c>
      <c r="AB26" s="23">
        <f>'C.1 Federal Expenditures'!AB26+'C.2 State Expenditures'!AB26</f>
        <v>0</v>
      </c>
      <c r="AC26" s="23">
        <f>'C.1 Federal Expenditures'!AC26+'C.2 State Expenditures'!AC26</f>
        <v>44390636.710000001</v>
      </c>
      <c r="AD26" s="23">
        <f>'C.1 Federal Expenditures'!AD26+'C.2 State Expenditures'!AD26</f>
        <v>128022.88</v>
      </c>
      <c r="AE26" s="23">
        <f>'C.1 Federal Expenditures'!AE26+'C.2 State Expenditures'!AE26</f>
        <v>517901120.01999998</v>
      </c>
      <c r="AF26" s="23">
        <f>'C.1 Federal Expenditures'!AF26+'C.2 State Expenditures'!AF26</f>
        <v>0</v>
      </c>
      <c r="AG26" s="23">
        <f>'C.1 Federal Expenditures'!AG26+'C.2 State Expenditures'!AG26</f>
        <v>0</v>
      </c>
      <c r="AH26" s="23">
        <f>'C.1 Federal Expenditures'!AH26+'C.2 State Expenditures'!AH26</f>
        <v>68004043.939999998</v>
      </c>
      <c r="AI26" s="23">
        <f>'C.1 Federal Expenditures'!AI26+'C.2 State Expenditures'!AI26</f>
        <v>68004043.939999998</v>
      </c>
      <c r="AJ26" s="23">
        <f>'C.1 Federal Expenditures'!AJ26+'C.2 State Expenditures'!AJ26</f>
        <v>0</v>
      </c>
      <c r="AK26" s="23">
        <f>'C.1 Federal Expenditures'!AK26+'C.2 State Expenditures'!AK26</f>
        <v>0</v>
      </c>
      <c r="AL26" s="23">
        <f>'C.1 Federal Expenditures'!AL26+'C.2 State Expenditures'!AL26</f>
        <v>0</v>
      </c>
      <c r="AM26" s="23">
        <f>'C.1 Federal Expenditures'!AM26+'C.2 State Expenditures'!AM26</f>
        <v>333993069.98000002</v>
      </c>
      <c r="AN26" s="23">
        <f>'C.1 Federal Expenditures'!AN26+'C.2 State Expenditures'!AN26</f>
        <v>58301873.039999999</v>
      </c>
      <c r="AO26" s="23">
        <f>'C.1 Federal Expenditures'!AO26+'C.2 State Expenditures'!AO26</f>
        <v>273090754.56999999</v>
      </c>
      <c r="AP26" s="23">
        <f>'C.1 Federal Expenditures'!AP26+'C.2 State Expenditures'!AP26</f>
        <v>2600442.37</v>
      </c>
      <c r="AQ26" s="23">
        <f>'C.1 Federal Expenditures'!AQ26+'C.2 State Expenditures'!AQ26</f>
        <v>0</v>
      </c>
      <c r="AR26" s="23">
        <f>'C.1 Federal Expenditures'!AR26+'C.2 State Expenditures'!AR26</f>
        <v>1871408441.8499999</v>
      </c>
      <c r="AS26" s="23">
        <f>'C.1 Federal Expenditures'!AS26</f>
        <v>0</v>
      </c>
      <c r="AT26" s="23">
        <f>'C.1 Federal Expenditures'!AT26</f>
        <v>45223497.259999998</v>
      </c>
      <c r="AU26" s="8"/>
      <c r="AV26" s="8"/>
      <c r="AW26" s="8"/>
      <c r="AX26" s="8"/>
      <c r="AY26" s="8"/>
      <c r="AZ26" s="8"/>
      <c r="BA26" s="8"/>
      <c r="BB26" s="8"/>
      <c r="BC26" s="8"/>
      <c r="BD26" s="8"/>
      <c r="BE26" s="8"/>
    </row>
    <row r="27" spans="1:57" x14ac:dyDescent="0.25">
      <c r="A27" s="33" t="s">
        <v>138</v>
      </c>
      <c r="B27" s="23">
        <f>'C.1 Federal Expenditures'!B27+'C.2 State Expenditures'!B27</f>
        <v>259569108</v>
      </c>
      <c r="C27" s="23">
        <f>'C.1 Federal Expenditures'!C27+'C.2 State Expenditures'!C27</f>
        <v>49658000</v>
      </c>
      <c r="D27" s="23">
        <f>'C.1 Federal Expenditures'!D27+'C.2 State Expenditures'!D27</f>
        <v>4790000</v>
      </c>
      <c r="E27" s="23">
        <f>'C.1 Federal Expenditures'!E27+'C.2 State Expenditures'!E27</f>
        <v>205121108</v>
      </c>
      <c r="F27" s="23">
        <f>'C.1 Federal Expenditures'!F27+'C.2 State Expenditures'!F27</f>
        <v>253961463</v>
      </c>
      <c r="G27" s="23">
        <f>'C.1 Federal Expenditures'!G27+'C.2 State Expenditures'!G27</f>
        <v>126664367</v>
      </c>
      <c r="H27" s="23">
        <f>'C.1 Federal Expenditures'!H27+'C.2 State Expenditures'!H27</f>
        <v>126664367</v>
      </c>
      <c r="I27" s="23">
        <f>'C.1 Federal Expenditures'!I27+'C.2 State Expenditures'!I27</f>
        <v>0</v>
      </c>
      <c r="J27" s="23">
        <f>'C.1 Federal Expenditures'!J27+'C.2 State Expenditures'!J27</f>
        <v>0</v>
      </c>
      <c r="K27" s="23">
        <f>'C.1 Federal Expenditures'!K27+'C.2 State Expenditures'!K27</f>
        <v>0</v>
      </c>
      <c r="L27" s="23">
        <f>'C.1 Federal Expenditures'!L27+'C.2 State Expenditures'!L27</f>
        <v>0</v>
      </c>
      <c r="M27" s="23">
        <f>'C.1 Federal Expenditures'!M27+'C.2 State Expenditures'!M27</f>
        <v>0</v>
      </c>
      <c r="N27" s="23">
        <f>'C.1 Federal Expenditures'!N27+'C.2 State Expenditures'!N27</f>
        <v>0</v>
      </c>
      <c r="O27" s="23">
        <f>'C.1 Federal Expenditures'!O27+'C.2 State Expenditures'!O27</f>
        <v>0</v>
      </c>
      <c r="P27" s="23">
        <f>'C.1 Federal Expenditures'!P27+'C.2 State Expenditures'!P27</f>
        <v>0</v>
      </c>
      <c r="Q27" s="23">
        <f>'C.1 Federal Expenditures'!Q27+'C.2 State Expenditures'!Q27</f>
        <v>0</v>
      </c>
      <c r="R27" s="23">
        <f>'C.1 Federal Expenditures'!R27+'C.2 State Expenditures'!R27</f>
        <v>81988998</v>
      </c>
      <c r="S27" s="23">
        <f>'C.1 Federal Expenditures'!S27+'C.2 State Expenditures'!S27</f>
        <v>0</v>
      </c>
      <c r="T27" s="23">
        <f>'C.1 Federal Expenditures'!T27+'C.2 State Expenditures'!T27</f>
        <v>599075</v>
      </c>
      <c r="U27" s="23">
        <f>'C.1 Federal Expenditures'!U27+'C.2 State Expenditures'!U27</f>
        <v>81389923</v>
      </c>
      <c r="V27" s="23">
        <f>'C.1 Federal Expenditures'!V27+'C.2 State Expenditures'!V27</f>
        <v>2064074</v>
      </c>
      <c r="W27" s="23">
        <f>'C.1 Federal Expenditures'!W27+'C.2 State Expenditures'!W27</f>
        <v>38261263</v>
      </c>
      <c r="X27" s="23">
        <f>'C.1 Federal Expenditures'!X27+'C.2 State Expenditures'!X27</f>
        <v>32561263</v>
      </c>
      <c r="Y27" s="23">
        <f>'C.1 Federal Expenditures'!Y27+'C.2 State Expenditures'!Y27</f>
        <v>5700000</v>
      </c>
      <c r="Z27" s="23">
        <f>'C.1 Federal Expenditures'!Z27+'C.2 State Expenditures'!Z27</f>
        <v>0</v>
      </c>
      <c r="AA27" s="23">
        <f>'C.1 Federal Expenditures'!AA27+'C.2 State Expenditures'!AA27</f>
        <v>78800000</v>
      </c>
      <c r="AB27" s="23">
        <f>'C.1 Federal Expenditures'!AB27+'C.2 State Expenditures'!AB27</f>
        <v>0</v>
      </c>
      <c r="AC27" s="23">
        <f>'C.1 Federal Expenditures'!AC27+'C.2 State Expenditures'!AC27</f>
        <v>18011155</v>
      </c>
      <c r="AD27" s="23">
        <f>'C.1 Federal Expenditures'!AD27+'C.2 State Expenditures'!AD27</f>
        <v>0</v>
      </c>
      <c r="AE27" s="23">
        <f>'C.1 Federal Expenditures'!AE27+'C.2 State Expenditures'!AE27</f>
        <v>0</v>
      </c>
      <c r="AF27" s="23">
        <f>'C.1 Federal Expenditures'!AF27+'C.2 State Expenditures'!AF27</f>
        <v>342849</v>
      </c>
      <c r="AG27" s="23">
        <f>'C.1 Federal Expenditures'!AG27+'C.2 State Expenditures'!AG27</f>
        <v>0</v>
      </c>
      <c r="AH27" s="23">
        <f>'C.1 Federal Expenditures'!AH27+'C.2 State Expenditures'!AH27</f>
        <v>0</v>
      </c>
      <c r="AI27" s="23">
        <f>'C.1 Federal Expenditures'!AI27+'C.2 State Expenditures'!AI27</f>
        <v>0</v>
      </c>
      <c r="AJ27" s="23">
        <f>'C.1 Federal Expenditures'!AJ27+'C.2 State Expenditures'!AJ27</f>
        <v>0</v>
      </c>
      <c r="AK27" s="23">
        <f>'C.1 Federal Expenditures'!AK27+'C.2 State Expenditures'!AK27</f>
        <v>0</v>
      </c>
      <c r="AL27" s="23">
        <f>'C.1 Federal Expenditures'!AL27+'C.2 State Expenditures'!AL27</f>
        <v>7280402</v>
      </c>
      <c r="AM27" s="23">
        <f>'C.1 Federal Expenditures'!AM27+'C.2 State Expenditures'!AM27</f>
        <v>47676715</v>
      </c>
      <c r="AN27" s="23">
        <f>'C.1 Federal Expenditures'!AN27+'C.2 State Expenditures'!AN27</f>
        <v>46880864</v>
      </c>
      <c r="AO27" s="23">
        <f>'C.1 Federal Expenditures'!AO27+'C.2 State Expenditures'!AO27</f>
        <v>0</v>
      </c>
      <c r="AP27" s="23">
        <f>'C.1 Federal Expenditures'!AP27+'C.2 State Expenditures'!AP27</f>
        <v>795851</v>
      </c>
      <c r="AQ27" s="23">
        <f>'C.1 Federal Expenditures'!AQ27+'C.2 State Expenditures'!AQ27</f>
        <v>2365864</v>
      </c>
      <c r="AR27" s="23">
        <f>'C.1 Federal Expenditures'!AR27+'C.2 State Expenditures'!AR27</f>
        <v>403455687</v>
      </c>
      <c r="AS27" s="23">
        <f>'C.1 Federal Expenditures'!AS27</f>
        <v>204906931</v>
      </c>
      <c r="AT27" s="23">
        <f>'C.1 Federal Expenditures'!AT27</f>
        <v>25396940</v>
      </c>
      <c r="AU27" s="8"/>
      <c r="AV27" s="8"/>
      <c r="AW27" s="8"/>
      <c r="AX27" s="8"/>
      <c r="AY27" s="8"/>
      <c r="AZ27" s="8"/>
      <c r="BA27" s="8"/>
      <c r="BB27" s="8"/>
      <c r="BC27" s="8"/>
      <c r="BD27" s="8"/>
      <c r="BE27" s="8"/>
    </row>
    <row r="28" spans="1:57" x14ac:dyDescent="0.25">
      <c r="A28" s="33" t="s">
        <v>139</v>
      </c>
      <c r="B28" s="23">
        <f>'C.1 Federal Expenditures'!B28+'C.2 State Expenditures'!B28</f>
        <v>86295031</v>
      </c>
      <c r="C28" s="23">
        <f>'C.1 Federal Expenditures'!C28+'C.2 State Expenditures'!C28</f>
        <v>25888509</v>
      </c>
      <c r="D28" s="23">
        <f>'C.1 Federal Expenditures'!D28+'C.2 State Expenditures'!D28</f>
        <v>0</v>
      </c>
      <c r="E28" s="23">
        <f>'C.1 Federal Expenditures'!E28+'C.2 State Expenditures'!E28</f>
        <v>60406522</v>
      </c>
      <c r="F28" s="23">
        <f>'C.1 Federal Expenditures'!F28+'C.2 State Expenditures'!F28</f>
        <v>156589491</v>
      </c>
      <c r="G28" s="23">
        <f>'C.1 Federal Expenditures'!G28+'C.2 State Expenditures'!G28</f>
        <v>2001203</v>
      </c>
      <c r="H28" s="23">
        <f>'C.1 Federal Expenditures'!H28+'C.2 State Expenditures'!H28</f>
        <v>2001203</v>
      </c>
      <c r="I28" s="23">
        <f>'C.1 Federal Expenditures'!I28+'C.2 State Expenditures'!I28</f>
        <v>0</v>
      </c>
      <c r="J28" s="23">
        <f>'C.1 Federal Expenditures'!J28+'C.2 State Expenditures'!J28</f>
        <v>0</v>
      </c>
      <c r="K28" s="23">
        <f>'C.1 Federal Expenditures'!K28+'C.2 State Expenditures'!K28</f>
        <v>0</v>
      </c>
      <c r="L28" s="23">
        <f>'C.1 Federal Expenditures'!L28+'C.2 State Expenditures'!L28</f>
        <v>0</v>
      </c>
      <c r="M28" s="23">
        <f>'C.1 Federal Expenditures'!M28+'C.2 State Expenditures'!M28</f>
        <v>0</v>
      </c>
      <c r="N28" s="23">
        <f>'C.1 Federal Expenditures'!N28+'C.2 State Expenditures'!N28</f>
        <v>0</v>
      </c>
      <c r="O28" s="23">
        <f>'C.1 Federal Expenditures'!O28+'C.2 State Expenditures'!O28</f>
        <v>0</v>
      </c>
      <c r="P28" s="23">
        <f>'C.1 Federal Expenditures'!P28+'C.2 State Expenditures'!P28</f>
        <v>0</v>
      </c>
      <c r="Q28" s="23">
        <f>'C.1 Federal Expenditures'!Q28+'C.2 State Expenditures'!Q28</f>
        <v>0</v>
      </c>
      <c r="R28" s="23">
        <f>'C.1 Federal Expenditures'!R28+'C.2 State Expenditures'!R28</f>
        <v>22656781</v>
      </c>
      <c r="S28" s="23">
        <f>'C.1 Federal Expenditures'!S28+'C.2 State Expenditures'!S28</f>
        <v>0</v>
      </c>
      <c r="T28" s="23">
        <f>'C.1 Federal Expenditures'!T28+'C.2 State Expenditures'!T28</f>
        <v>19962101</v>
      </c>
      <c r="U28" s="23">
        <f>'C.1 Federal Expenditures'!U28+'C.2 State Expenditures'!U28</f>
        <v>2694680</v>
      </c>
      <c r="V28" s="23">
        <f>'C.1 Federal Expenditures'!V28+'C.2 State Expenditures'!V28</f>
        <v>505788</v>
      </c>
      <c r="W28" s="23">
        <f>'C.1 Federal Expenditures'!W28+'C.2 State Expenditures'!W28</f>
        <v>1715430</v>
      </c>
      <c r="X28" s="23">
        <f>'C.1 Federal Expenditures'!X28+'C.2 State Expenditures'!X28</f>
        <v>1715430</v>
      </c>
      <c r="Y28" s="23">
        <f>'C.1 Federal Expenditures'!Y28+'C.2 State Expenditures'!Y28</f>
        <v>0</v>
      </c>
      <c r="Z28" s="23">
        <f>'C.1 Federal Expenditures'!Z28+'C.2 State Expenditures'!Z28</f>
        <v>0</v>
      </c>
      <c r="AA28" s="23">
        <f>'C.1 Federal Expenditures'!AA28+'C.2 State Expenditures'!AA28</f>
        <v>0</v>
      </c>
      <c r="AB28" s="23">
        <f>'C.1 Federal Expenditures'!AB28+'C.2 State Expenditures'!AB28</f>
        <v>0</v>
      </c>
      <c r="AC28" s="23">
        <f>'C.1 Federal Expenditures'!AC28+'C.2 State Expenditures'!AC28</f>
        <v>0</v>
      </c>
      <c r="AD28" s="23">
        <f>'C.1 Federal Expenditures'!AD28+'C.2 State Expenditures'!AD28</f>
        <v>0</v>
      </c>
      <c r="AE28" s="23">
        <f>'C.1 Federal Expenditures'!AE28+'C.2 State Expenditures'!AE28</f>
        <v>0</v>
      </c>
      <c r="AF28" s="23">
        <f>'C.1 Federal Expenditures'!AF28+'C.2 State Expenditures'!AF28</f>
        <v>0</v>
      </c>
      <c r="AG28" s="23">
        <f>'C.1 Federal Expenditures'!AG28+'C.2 State Expenditures'!AG28</f>
        <v>38236512</v>
      </c>
      <c r="AH28" s="23">
        <f>'C.1 Federal Expenditures'!AH28+'C.2 State Expenditures'!AH28</f>
        <v>7121833</v>
      </c>
      <c r="AI28" s="23">
        <f>'C.1 Federal Expenditures'!AI28+'C.2 State Expenditures'!AI28</f>
        <v>0</v>
      </c>
      <c r="AJ28" s="23">
        <f>'C.1 Federal Expenditures'!AJ28+'C.2 State Expenditures'!AJ28</f>
        <v>0</v>
      </c>
      <c r="AK28" s="23">
        <f>'C.1 Federal Expenditures'!AK28+'C.2 State Expenditures'!AK28</f>
        <v>7121833</v>
      </c>
      <c r="AL28" s="23">
        <f>'C.1 Federal Expenditures'!AL28+'C.2 State Expenditures'!AL28</f>
        <v>0</v>
      </c>
      <c r="AM28" s="23">
        <f>'C.1 Federal Expenditures'!AM28+'C.2 State Expenditures'!AM28</f>
        <v>8694867</v>
      </c>
      <c r="AN28" s="23">
        <f>'C.1 Federal Expenditures'!AN28+'C.2 State Expenditures'!AN28</f>
        <v>6766893</v>
      </c>
      <c r="AO28" s="23">
        <f>'C.1 Federal Expenditures'!AO28+'C.2 State Expenditures'!AO28</f>
        <v>0</v>
      </c>
      <c r="AP28" s="23">
        <f>'C.1 Federal Expenditures'!AP28+'C.2 State Expenditures'!AP28</f>
        <v>1927974</v>
      </c>
      <c r="AQ28" s="23">
        <f>'C.1 Federal Expenditures'!AQ28+'C.2 State Expenditures'!AQ28</f>
        <v>0</v>
      </c>
      <c r="AR28" s="23">
        <f>'C.1 Federal Expenditures'!AR28+'C.2 State Expenditures'!AR28</f>
        <v>80932414</v>
      </c>
      <c r="AS28" s="23">
        <f>'C.1 Federal Expenditures'!AS28</f>
        <v>0</v>
      </c>
      <c r="AT28" s="23">
        <f>'C.1 Federal Expenditures'!AT28</f>
        <v>157741130</v>
      </c>
      <c r="AU28" s="8"/>
      <c r="AV28" s="8"/>
      <c r="AW28" s="8"/>
      <c r="AX28" s="8"/>
      <c r="AY28" s="8"/>
      <c r="AZ28" s="8"/>
      <c r="BA28" s="8"/>
      <c r="BB28" s="8"/>
      <c r="BC28" s="8"/>
      <c r="BD28" s="8"/>
      <c r="BE28" s="8"/>
    </row>
    <row r="29" spans="1:57" x14ac:dyDescent="0.25">
      <c r="A29" s="33" t="s">
        <v>140</v>
      </c>
      <c r="B29" s="23">
        <f>'C.1 Federal Expenditures'!B29+'C.2 State Expenditures'!B29</f>
        <v>216335469</v>
      </c>
      <c r="C29" s="23">
        <f>'C.1 Federal Expenditures'!C29+'C.2 State Expenditures'!C29</f>
        <v>0</v>
      </c>
      <c r="D29" s="23">
        <f>'C.1 Federal Expenditures'!D29+'C.2 State Expenditures'!D29</f>
        <v>21633546.899999999</v>
      </c>
      <c r="E29" s="23">
        <f>'C.1 Federal Expenditures'!E29+'C.2 State Expenditures'!E29</f>
        <v>194701922.09999999</v>
      </c>
      <c r="F29" s="23">
        <f>'C.1 Federal Expenditures'!F29+'C.2 State Expenditures'!F29</f>
        <v>0</v>
      </c>
      <c r="G29" s="23">
        <f>'C.1 Federal Expenditures'!G29+'C.2 State Expenditures'!G29</f>
        <v>14512152.219999999</v>
      </c>
      <c r="H29" s="23">
        <f>'C.1 Federal Expenditures'!H29+'C.2 State Expenditures'!H29</f>
        <v>14512152.219999999</v>
      </c>
      <c r="I29" s="23">
        <f>'C.1 Federal Expenditures'!I29+'C.2 State Expenditures'!I29</f>
        <v>0</v>
      </c>
      <c r="J29" s="23">
        <f>'C.1 Federal Expenditures'!J29+'C.2 State Expenditures'!J29</f>
        <v>0</v>
      </c>
      <c r="K29" s="23">
        <f>'C.1 Federal Expenditures'!K29+'C.2 State Expenditures'!K29</f>
        <v>0</v>
      </c>
      <c r="L29" s="23">
        <f>'C.1 Federal Expenditures'!L29+'C.2 State Expenditures'!L29</f>
        <v>0</v>
      </c>
      <c r="M29" s="23">
        <f>'C.1 Federal Expenditures'!M29+'C.2 State Expenditures'!M29</f>
        <v>0</v>
      </c>
      <c r="N29" s="23">
        <f>'C.1 Federal Expenditures'!N29+'C.2 State Expenditures'!N29</f>
        <v>125671960.25</v>
      </c>
      <c r="O29" s="23">
        <f>'C.1 Federal Expenditures'!O29+'C.2 State Expenditures'!O29</f>
        <v>125671960.25</v>
      </c>
      <c r="P29" s="23">
        <f>'C.1 Federal Expenditures'!P29+'C.2 State Expenditures'!P29</f>
        <v>0</v>
      </c>
      <c r="Q29" s="23">
        <f>'C.1 Federal Expenditures'!Q29+'C.2 State Expenditures'!Q29</f>
        <v>0</v>
      </c>
      <c r="R29" s="23">
        <f>'C.1 Federal Expenditures'!R29+'C.2 State Expenditures'!R29</f>
        <v>52288821.140000001</v>
      </c>
      <c r="S29" s="23">
        <f>'C.1 Federal Expenditures'!S29+'C.2 State Expenditures'!S29</f>
        <v>87322.08</v>
      </c>
      <c r="T29" s="23">
        <f>'C.1 Federal Expenditures'!T29+'C.2 State Expenditures'!T29</f>
        <v>38517468.539999999</v>
      </c>
      <c r="U29" s="23">
        <f>'C.1 Federal Expenditures'!U29+'C.2 State Expenditures'!U29</f>
        <v>13684030.52</v>
      </c>
      <c r="V29" s="23">
        <f>'C.1 Federal Expenditures'!V29+'C.2 State Expenditures'!V29</f>
        <v>4173406.8899999997</v>
      </c>
      <c r="W29" s="23">
        <f>'C.1 Federal Expenditures'!W29+'C.2 State Expenditures'!W29</f>
        <v>22695090.489999998</v>
      </c>
      <c r="X29" s="23">
        <f>'C.1 Federal Expenditures'!X29+'C.2 State Expenditures'!X29</f>
        <v>22695090.489999998</v>
      </c>
      <c r="Y29" s="23">
        <f>'C.1 Federal Expenditures'!Y29+'C.2 State Expenditures'!Y29</f>
        <v>0</v>
      </c>
      <c r="Z29" s="23">
        <f>'C.1 Federal Expenditures'!Z29+'C.2 State Expenditures'!Z29</f>
        <v>0</v>
      </c>
      <c r="AA29" s="23">
        <f>'C.1 Federal Expenditures'!AA29+'C.2 State Expenditures'!AA29</f>
        <v>0</v>
      </c>
      <c r="AB29" s="23">
        <f>'C.1 Federal Expenditures'!AB29+'C.2 State Expenditures'!AB29</f>
        <v>0</v>
      </c>
      <c r="AC29" s="23">
        <f>'C.1 Federal Expenditures'!AC29+'C.2 State Expenditures'!AC29</f>
        <v>105558280.98999999</v>
      </c>
      <c r="AD29" s="23">
        <f>'C.1 Federal Expenditures'!AD29+'C.2 State Expenditures'!AD29</f>
        <v>11424296.59</v>
      </c>
      <c r="AE29" s="23">
        <f>'C.1 Federal Expenditures'!AE29+'C.2 State Expenditures'!AE29</f>
        <v>4331559.7699999996</v>
      </c>
      <c r="AF29" s="23">
        <f>'C.1 Federal Expenditures'!AF29+'C.2 State Expenditures'!AF29</f>
        <v>3207857.79</v>
      </c>
      <c r="AG29" s="23">
        <f>'C.1 Federal Expenditures'!AG29+'C.2 State Expenditures'!AG29</f>
        <v>37626776.890000001</v>
      </c>
      <c r="AH29" s="23">
        <f>'C.1 Federal Expenditures'!AH29+'C.2 State Expenditures'!AH29</f>
        <v>0</v>
      </c>
      <c r="AI29" s="23">
        <f>'C.1 Federal Expenditures'!AI29+'C.2 State Expenditures'!AI29</f>
        <v>0</v>
      </c>
      <c r="AJ29" s="23">
        <f>'C.1 Federal Expenditures'!AJ29+'C.2 State Expenditures'!AJ29</f>
        <v>0</v>
      </c>
      <c r="AK29" s="23">
        <f>'C.1 Federal Expenditures'!AK29+'C.2 State Expenditures'!AK29</f>
        <v>0</v>
      </c>
      <c r="AL29" s="23">
        <f>'C.1 Federal Expenditures'!AL29+'C.2 State Expenditures'!AL29</f>
        <v>0</v>
      </c>
      <c r="AM29" s="23">
        <f>'C.1 Federal Expenditures'!AM29+'C.2 State Expenditures'!AM29</f>
        <v>13066859.859999999</v>
      </c>
      <c r="AN29" s="23">
        <f>'C.1 Federal Expenditures'!AN29+'C.2 State Expenditures'!AN29</f>
        <v>12625219.27</v>
      </c>
      <c r="AO29" s="23">
        <f>'C.1 Federal Expenditures'!AO29+'C.2 State Expenditures'!AO29</f>
        <v>0</v>
      </c>
      <c r="AP29" s="23">
        <f>'C.1 Federal Expenditures'!AP29+'C.2 State Expenditures'!AP29</f>
        <v>441640.59</v>
      </c>
      <c r="AQ29" s="23">
        <f>'C.1 Federal Expenditures'!AQ29+'C.2 State Expenditures'!AQ29</f>
        <v>0</v>
      </c>
      <c r="AR29" s="23">
        <f>'C.1 Federal Expenditures'!AR29+'C.2 State Expenditures'!AR29</f>
        <v>394557062.88</v>
      </c>
      <c r="AS29" s="23">
        <f>'C.1 Federal Expenditures'!AS29</f>
        <v>0</v>
      </c>
      <c r="AT29" s="23">
        <f>'C.1 Federal Expenditures'!AT29</f>
        <v>0</v>
      </c>
      <c r="AU29" s="8"/>
      <c r="AV29" s="8"/>
      <c r="AW29" s="8"/>
      <c r="AX29" s="8"/>
      <c r="AY29" s="8"/>
      <c r="AZ29" s="8"/>
      <c r="BA29" s="8"/>
      <c r="BB29" s="8"/>
      <c r="BC29" s="8"/>
      <c r="BD29" s="8"/>
      <c r="BE29" s="8"/>
    </row>
    <row r="30" spans="1:57" x14ac:dyDescent="0.25">
      <c r="A30" s="33" t="s">
        <v>141</v>
      </c>
      <c r="B30" s="23">
        <f>'C.1 Federal Expenditures'!B30+'C.2 State Expenditures'!B30</f>
        <v>37888854</v>
      </c>
      <c r="C30" s="23">
        <f>'C.1 Federal Expenditures'!C30+'C.2 State Expenditures'!C30</f>
        <v>8700000</v>
      </c>
      <c r="D30" s="23">
        <f>'C.1 Federal Expenditures'!D30+'C.2 State Expenditures'!D30</f>
        <v>2666656</v>
      </c>
      <c r="E30" s="23">
        <f>'C.1 Federal Expenditures'!E30+'C.2 State Expenditures'!E30</f>
        <v>26522198</v>
      </c>
      <c r="F30" s="23">
        <f>'C.1 Federal Expenditures'!F30+'C.2 State Expenditures'!F30</f>
        <v>75159657</v>
      </c>
      <c r="G30" s="23">
        <f>'C.1 Federal Expenditures'!G30+'C.2 State Expenditures'!G30</f>
        <v>11855832</v>
      </c>
      <c r="H30" s="23">
        <f>'C.1 Federal Expenditures'!H30+'C.2 State Expenditures'!H30</f>
        <v>11855832</v>
      </c>
      <c r="I30" s="23">
        <f>'C.1 Federal Expenditures'!I30+'C.2 State Expenditures'!I30</f>
        <v>0</v>
      </c>
      <c r="J30" s="23">
        <f>'C.1 Federal Expenditures'!J30+'C.2 State Expenditures'!J30</f>
        <v>1989097</v>
      </c>
      <c r="K30" s="23">
        <f>'C.1 Federal Expenditures'!K30+'C.2 State Expenditures'!K30</f>
        <v>0</v>
      </c>
      <c r="L30" s="23">
        <f>'C.1 Federal Expenditures'!L30+'C.2 State Expenditures'!L30</f>
        <v>0</v>
      </c>
      <c r="M30" s="23">
        <f>'C.1 Federal Expenditures'!M30+'C.2 State Expenditures'!M30</f>
        <v>1989097</v>
      </c>
      <c r="N30" s="23">
        <f>'C.1 Federal Expenditures'!N30+'C.2 State Expenditures'!N30</f>
        <v>2233309</v>
      </c>
      <c r="O30" s="23">
        <f>'C.1 Federal Expenditures'!O30+'C.2 State Expenditures'!O30</f>
        <v>2233309</v>
      </c>
      <c r="P30" s="23">
        <f>'C.1 Federal Expenditures'!P30+'C.2 State Expenditures'!P30</f>
        <v>0</v>
      </c>
      <c r="Q30" s="23">
        <f>'C.1 Federal Expenditures'!Q30+'C.2 State Expenditures'!Q30</f>
        <v>0</v>
      </c>
      <c r="R30" s="23">
        <f>'C.1 Federal Expenditures'!R30+'C.2 State Expenditures'!R30</f>
        <v>2705447</v>
      </c>
      <c r="S30" s="23">
        <f>'C.1 Federal Expenditures'!S30+'C.2 State Expenditures'!S30</f>
        <v>234802</v>
      </c>
      <c r="T30" s="23">
        <f>'C.1 Federal Expenditures'!T30+'C.2 State Expenditures'!T30</f>
        <v>225769</v>
      </c>
      <c r="U30" s="23">
        <f>'C.1 Federal Expenditures'!U30+'C.2 State Expenditures'!U30</f>
        <v>2244876</v>
      </c>
      <c r="V30" s="23">
        <f>'C.1 Federal Expenditures'!V30+'C.2 State Expenditures'!V30</f>
        <v>218480</v>
      </c>
      <c r="W30" s="23">
        <f>'C.1 Federal Expenditures'!W30+'C.2 State Expenditures'!W30</f>
        <v>1654096</v>
      </c>
      <c r="X30" s="23">
        <f>'C.1 Federal Expenditures'!X30+'C.2 State Expenditures'!X30</f>
        <v>1654096</v>
      </c>
      <c r="Y30" s="23">
        <f>'C.1 Federal Expenditures'!Y30+'C.2 State Expenditures'!Y30</f>
        <v>0</v>
      </c>
      <c r="Z30" s="23">
        <f>'C.1 Federal Expenditures'!Z30+'C.2 State Expenditures'!Z30</f>
        <v>73416</v>
      </c>
      <c r="AA30" s="23">
        <f>'C.1 Federal Expenditures'!AA30+'C.2 State Expenditures'!AA30</f>
        <v>0</v>
      </c>
      <c r="AB30" s="23">
        <f>'C.1 Federal Expenditures'!AB30+'C.2 State Expenditures'!AB30</f>
        <v>0</v>
      </c>
      <c r="AC30" s="23">
        <f>'C.1 Federal Expenditures'!AC30+'C.2 State Expenditures'!AC30</f>
        <v>373103</v>
      </c>
      <c r="AD30" s="23">
        <f>'C.1 Federal Expenditures'!AD30+'C.2 State Expenditures'!AD30</f>
        <v>0</v>
      </c>
      <c r="AE30" s="23">
        <f>'C.1 Federal Expenditures'!AE30+'C.2 State Expenditures'!AE30</f>
        <v>0</v>
      </c>
      <c r="AF30" s="23">
        <f>'C.1 Federal Expenditures'!AF30+'C.2 State Expenditures'!AF30</f>
        <v>0</v>
      </c>
      <c r="AG30" s="23">
        <f>'C.1 Federal Expenditures'!AG30+'C.2 State Expenditures'!AG30</f>
        <v>0</v>
      </c>
      <c r="AH30" s="23">
        <f>'C.1 Federal Expenditures'!AH30+'C.2 State Expenditures'!AH30</f>
        <v>563954</v>
      </c>
      <c r="AI30" s="23">
        <f>'C.1 Federal Expenditures'!AI30+'C.2 State Expenditures'!AI30</f>
        <v>563954</v>
      </c>
      <c r="AJ30" s="23">
        <f>'C.1 Federal Expenditures'!AJ30+'C.2 State Expenditures'!AJ30</f>
        <v>0</v>
      </c>
      <c r="AK30" s="23">
        <f>'C.1 Federal Expenditures'!AK30+'C.2 State Expenditures'!AK30</f>
        <v>0</v>
      </c>
      <c r="AL30" s="23">
        <f>'C.1 Federal Expenditures'!AL30+'C.2 State Expenditures'!AL30</f>
        <v>0</v>
      </c>
      <c r="AM30" s="23">
        <f>'C.1 Federal Expenditures'!AM30+'C.2 State Expenditures'!AM30</f>
        <v>11395103</v>
      </c>
      <c r="AN30" s="23">
        <f>'C.1 Federal Expenditures'!AN30+'C.2 State Expenditures'!AN30</f>
        <v>3179546</v>
      </c>
      <c r="AO30" s="23">
        <f>'C.1 Federal Expenditures'!AO30+'C.2 State Expenditures'!AO30</f>
        <v>8005331</v>
      </c>
      <c r="AP30" s="23">
        <f>'C.1 Federal Expenditures'!AP30+'C.2 State Expenditures'!AP30</f>
        <v>210226</v>
      </c>
      <c r="AQ30" s="23">
        <f>'C.1 Federal Expenditures'!AQ30+'C.2 State Expenditures'!AQ30</f>
        <v>0</v>
      </c>
      <c r="AR30" s="23">
        <f>'C.1 Federal Expenditures'!AR30+'C.2 State Expenditures'!AR30</f>
        <v>33061837</v>
      </c>
      <c r="AS30" s="23">
        <f>'C.1 Federal Expenditures'!AS30</f>
        <v>0</v>
      </c>
      <c r="AT30" s="23">
        <f>'C.1 Federal Expenditures'!AT30</f>
        <v>83104658</v>
      </c>
      <c r="AU30" s="8"/>
      <c r="AV30" s="8"/>
      <c r="AW30" s="8"/>
      <c r="AX30" s="8"/>
      <c r="AY30" s="8"/>
      <c r="AZ30" s="8"/>
      <c r="BA30" s="8"/>
      <c r="BB30" s="8"/>
      <c r="BC30" s="8"/>
      <c r="BD30" s="8"/>
      <c r="BE30" s="8"/>
    </row>
    <row r="31" spans="1:57" x14ac:dyDescent="0.25">
      <c r="A31" s="33" t="s">
        <v>142</v>
      </c>
      <c r="B31" s="23">
        <f>'C.1 Federal Expenditures'!B31+'C.2 State Expenditures'!B31</f>
        <v>56627234</v>
      </c>
      <c r="C31" s="23">
        <f>'C.1 Federal Expenditures'!C31+'C.2 State Expenditures'!C31</f>
        <v>14409787</v>
      </c>
      <c r="D31" s="23">
        <f>'C.1 Federal Expenditures'!D31+'C.2 State Expenditures'!D31</f>
        <v>2578383</v>
      </c>
      <c r="E31" s="23">
        <f>'C.1 Federal Expenditures'!E31+'C.2 State Expenditures'!E31</f>
        <v>39639064</v>
      </c>
      <c r="F31" s="23">
        <f>'C.1 Federal Expenditures'!F31+'C.2 State Expenditures'!F31</f>
        <v>125206029.81</v>
      </c>
      <c r="G31" s="23">
        <f>'C.1 Federal Expenditures'!G31+'C.2 State Expenditures'!G31</f>
        <v>18973261.210000001</v>
      </c>
      <c r="H31" s="23">
        <f>'C.1 Federal Expenditures'!H31+'C.2 State Expenditures'!H31</f>
        <v>18973261.210000001</v>
      </c>
      <c r="I31" s="23">
        <f>'C.1 Federal Expenditures'!I31+'C.2 State Expenditures'!I31</f>
        <v>0</v>
      </c>
      <c r="J31" s="23">
        <f>'C.1 Federal Expenditures'!J31+'C.2 State Expenditures'!J31</f>
        <v>0</v>
      </c>
      <c r="K31" s="23">
        <f>'C.1 Federal Expenditures'!K31+'C.2 State Expenditures'!K31</f>
        <v>0</v>
      </c>
      <c r="L31" s="23">
        <f>'C.1 Federal Expenditures'!L31+'C.2 State Expenditures'!L31</f>
        <v>0</v>
      </c>
      <c r="M31" s="23">
        <f>'C.1 Federal Expenditures'!M31+'C.2 State Expenditures'!M31</f>
        <v>0</v>
      </c>
      <c r="N31" s="23">
        <f>'C.1 Federal Expenditures'!N31+'C.2 State Expenditures'!N31</f>
        <v>0</v>
      </c>
      <c r="O31" s="23">
        <f>'C.1 Federal Expenditures'!O31+'C.2 State Expenditures'!O31</f>
        <v>0</v>
      </c>
      <c r="P31" s="23">
        <f>'C.1 Federal Expenditures'!P31+'C.2 State Expenditures'!P31</f>
        <v>0</v>
      </c>
      <c r="Q31" s="23">
        <f>'C.1 Federal Expenditures'!Q31+'C.2 State Expenditures'!Q31</f>
        <v>0</v>
      </c>
      <c r="R31" s="23">
        <f>'C.1 Federal Expenditures'!R31+'C.2 State Expenditures'!R31</f>
        <v>13103821.76</v>
      </c>
      <c r="S31" s="23">
        <f>'C.1 Federal Expenditures'!S31+'C.2 State Expenditures'!S31</f>
        <v>1155014.6000000001</v>
      </c>
      <c r="T31" s="23">
        <f>'C.1 Federal Expenditures'!T31+'C.2 State Expenditures'!T31</f>
        <v>441876.99</v>
      </c>
      <c r="U31" s="23">
        <f>'C.1 Federal Expenditures'!U31+'C.2 State Expenditures'!U31</f>
        <v>11506930.189999999</v>
      </c>
      <c r="V31" s="23">
        <f>'C.1 Federal Expenditures'!V31+'C.2 State Expenditures'!V31</f>
        <v>0</v>
      </c>
      <c r="W31" s="23">
        <f>'C.1 Federal Expenditures'!W31+'C.2 State Expenditures'!W31</f>
        <v>6498998</v>
      </c>
      <c r="X31" s="23">
        <f>'C.1 Federal Expenditures'!X31+'C.2 State Expenditures'!X31</f>
        <v>6498998</v>
      </c>
      <c r="Y31" s="23">
        <f>'C.1 Federal Expenditures'!Y31+'C.2 State Expenditures'!Y31</f>
        <v>0</v>
      </c>
      <c r="Z31" s="23">
        <f>'C.1 Federal Expenditures'!Z31+'C.2 State Expenditures'!Z31</f>
        <v>0</v>
      </c>
      <c r="AA31" s="23">
        <f>'C.1 Federal Expenditures'!AA31+'C.2 State Expenditures'!AA31</f>
        <v>27549297</v>
      </c>
      <c r="AB31" s="23">
        <f>'C.1 Federal Expenditures'!AB31+'C.2 State Expenditures'!AB31</f>
        <v>1569767</v>
      </c>
      <c r="AC31" s="23">
        <f>'C.1 Federal Expenditures'!AC31+'C.2 State Expenditures'!AC31</f>
        <v>135482.38</v>
      </c>
      <c r="AD31" s="23">
        <f>'C.1 Federal Expenditures'!AD31+'C.2 State Expenditures'!AD31</f>
        <v>0</v>
      </c>
      <c r="AE31" s="23">
        <f>'C.1 Federal Expenditures'!AE31+'C.2 State Expenditures'!AE31</f>
        <v>4595614.5199999996</v>
      </c>
      <c r="AF31" s="23">
        <f>'C.1 Federal Expenditures'!AF31+'C.2 State Expenditures'!AF31</f>
        <v>100538.16</v>
      </c>
      <c r="AG31" s="23">
        <f>'C.1 Federal Expenditures'!AG31+'C.2 State Expenditures'!AG31</f>
        <v>3687001.63</v>
      </c>
      <c r="AH31" s="23">
        <f>'C.1 Federal Expenditures'!AH31+'C.2 State Expenditures'!AH31</f>
        <v>9142082.9899999984</v>
      </c>
      <c r="AI31" s="23">
        <f>'C.1 Federal Expenditures'!AI31+'C.2 State Expenditures'!AI31</f>
        <v>3470033.52</v>
      </c>
      <c r="AJ31" s="23">
        <f>'C.1 Federal Expenditures'!AJ31+'C.2 State Expenditures'!AJ31</f>
        <v>0</v>
      </c>
      <c r="AK31" s="23">
        <f>'C.1 Federal Expenditures'!AK31+'C.2 State Expenditures'!AK31</f>
        <v>5672049.4699999997</v>
      </c>
      <c r="AL31" s="23">
        <f>'C.1 Federal Expenditures'!AL31+'C.2 State Expenditures'!AL31</f>
        <v>3642333.5599999996</v>
      </c>
      <c r="AM31" s="23">
        <f>'C.1 Federal Expenditures'!AM31+'C.2 State Expenditures'!AM31</f>
        <v>4773591.59</v>
      </c>
      <c r="AN31" s="23">
        <f>'C.1 Federal Expenditures'!AN31+'C.2 State Expenditures'!AN31</f>
        <v>4386553.63</v>
      </c>
      <c r="AO31" s="23">
        <f>'C.1 Federal Expenditures'!AO31+'C.2 State Expenditures'!AO31</f>
        <v>0</v>
      </c>
      <c r="AP31" s="23">
        <f>'C.1 Federal Expenditures'!AP31+'C.2 State Expenditures'!AP31</f>
        <v>387037.97</v>
      </c>
      <c r="AQ31" s="23">
        <f>'C.1 Federal Expenditures'!AQ31+'C.2 State Expenditures'!AQ31</f>
        <v>0</v>
      </c>
      <c r="AR31" s="23">
        <f>'C.1 Federal Expenditures'!AR31+'C.2 State Expenditures'!AR31</f>
        <v>93771789.819999993</v>
      </c>
      <c r="AS31" s="23">
        <f>'C.1 Federal Expenditures'!AS31</f>
        <v>27158975.549999997</v>
      </c>
      <c r="AT31" s="23">
        <f>'C.1 Federal Expenditures'!AT31</f>
        <v>83980092.039999992</v>
      </c>
      <c r="AU31" s="8"/>
      <c r="AV31" s="8"/>
      <c r="AW31" s="8"/>
      <c r="AX31" s="8"/>
      <c r="AY31" s="8"/>
      <c r="AZ31" s="8"/>
      <c r="BA31" s="8"/>
      <c r="BB31" s="8"/>
      <c r="BC31" s="8"/>
      <c r="BD31" s="8"/>
      <c r="BE31" s="8"/>
    </row>
    <row r="32" spans="1:57" x14ac:dyDescent="0.25">
      <c r="A32" s="33" t="s">
        <v>143</v>
      </c>
      <c r="B32" s="23">
        <f>'C.1 Federal Expenditures'!B32+'C.2 State Expenditures'!B32</f>
        <v>43762394</v>
      </c>
      <c r="C32" s="23">
        <f>'C.1 Federal Expenditures'!C32+'C.2 State Expenditures'!C32</f>
        <v>12499999.99</v>
      </c>
      <c r="D32" s="23">
        <f>'C.1 Federal Expenditures'!D32+'C.2 State Expenditures'!D32</f>
        <v>0</v>
      </c>
      <c r="E32" s="23">
        <f>'C.1 Federal Expenditures'!E32+'C.2 State Expenditures'!E32</f>
        <v>31262394</v>
      </c>
      <c r="F32" s="23">
        <f>'C.1 Federal Expenditures'!F32+'C.2 State Expenditures'!F32</f>
        <v>60906291.390000001</v>
      </c>
      <c r="G32" s="23">
        <f>'C.1 Federal Expenditures'!G32+'C.2 State Expenditures'!G32</f>
        <v>24607810</v>
      </c>
      <c r="H32" s="23">
        <f>'C.1 Federal Expenditures'!H32+'C.2 State Expenditures'!H32</f>
        <v>24607810</v>
      </c>
      <c r="I32" s="23">
        <f>'C.1 Federal Expenditures'!I32+'C.2 State Expenditures'!I32</f>
        <v>0</v>
      </c>
      <c r="J32" s="23">
        <f>'C.1 Federal Expenditures'!J32+'C.2 State Expenditures'!J32</f>
        <v>0</v>
      </c>
      <c r="K32" s="23">
        <f>'C.1 Federal Expenditures'!K32+'C.2 State Expenditures'!K32</f>
        <v>0</v>
      </c>
      <c r="L32" s="23">
        <f>'C.1 Federal Expenditures'!L32+'C.2 State Expenditures'!L32</f>
        <v>0</v>
      </c>
      <c r="M32" s="23">
        <f>'C.1 Federal Expenditures'!M32+'C.2 State Expenditures'!M32</f>
        <v>0</v>
      </c>
      <c r="N32" s="23">
        <f>'C.1 Federal Expenditures'!N32+'C.2 State Expenditures'!N32</f>
        <v>0</v>
      </c>
      <c r="O32" s="23">
        <f>'C.1 Federal Expenditures'!O32+'C.2 State Expenditures'!O32</f>
        <v>0</v>
      </c>
      <c r="P32" s="23">
        <f>'C.1 Federal Expenditures'!P32+'C.2 State Expenditures'!P32</f>
        <v>0</v>
      </c>
      <c r="Q32" s="23">
        <f>'C.1 Federal Expenditures'!Q32+'C.2 State Expenditures'!Q32</f>
        <v>0</v>
      </c>
      <c r="R32" s="23">
        <f>'C.1 Federal Expenditures'!R32+'C.2 State Expenditures'!R32</f>
        <v>2088693.7399999998</v>
      </c>
      <c r="S32" s="23">
        <f>'C.1 Federal Expenditures'!S32+'C.2 State Expenditures'!S32</f>
        <v>86875</v>
      </c>
      <c r="T32" s="23">
        <f>'C.1 Federal Expenditures'!T32+'C.2 State Expenditures'!T32</f>
        <v>421278.61</v>
      </c>
      <c r="U32" s="23">
        <f>'C.1 Federal Expenditures'!U32+'C.2 State Expenditures'!U32</f>
        <v>1580540.13</v>
      </c>
      <c r="V32" s="23">
        <f>'C.1 Federal Expenditures'!V32+'C.2 State Expenditures'!V32</f>
        <v>461723.74</v>
      </c>
      <c r="W32" s="23">
        <f>'C.1 Federal Expenditures'!W32+'C.2 State Expenditures'!W32</f>
        <v>16294522.48</v>
      </c>
      <c r="X32" s="23">
        <f>'C.1 Federal Expenditures'!X32+'C.2 State Expenditures'!X32</f>
        <v>14294522.48</v>
      </c>
      <c r="Y32" s="23">
        <f>'C.1 Federal Expenditures'!Y32+'C.2 State Expenditures'!Y32</f>
        <v>2000000</v>
      </c>
      <c r="Z32" s="23">
        <f>'C.1 Federal Expenditures'!Z32+'C.2 State Expenditures'!Z32</f>
        <v>15836</v>
      </c>
      <c r="AA32" s="23">
        <f>'C.1 Federal Expenditures'!AA32+'C.2 State Expenditures'!AA32</f>
        <v>0</v>
      </c>
      <c r="AB32" s="23">
        <f>'C.1 Federal Expenditures'!AB32+'C.2 State Expenditures'!AB32</f>
        <v>0</v>
      </c>
      <c r="AC32" s="23">
        <f>'C.1 Federal Expenditures'!AC32+'C.2 State Expenditures'!AC32</f>
        <v>18221703.489999998</v>
      </c>
      <c r="AD32" s="23">
        <f>'C.1 Federal Expenditures'!AD32+'C.2 State Expenditures'!AD32</f>
        <v>7524055.1500000004</v>
      </c>
      <c r="AE32" s="23">
        <f>'C.1 Federal Expenditures'!AE32+'C.2 State Expenditures'!AE32</f>
        <v>1584231</v>
      </c>
      <c r="AF32" s="23">
        <f>'C.1 Federal Expenditures'!AF32+'C.2 State Expenditures'!AF32</f>
        <v>51817.96</v>
      </c>
      <c r="AG32" s="23">
        <f>'C.1 Federal Expenditures'!AG32+'C.2 State Expenditures'!AG32</f>
        <v>0</v>
      </c>
      <c r="AH32" s="23">
        <f>'C.1 Federal Expenditures'!AH32+'C.2 State Expenditures'!AH32</f>
        <v>37350356.359999999</v>
      </c>
      <c r="AI32" s="23">
        <f>'C.1 Federal Expenditures'!AI32+'C.2 State Expenditures'!AI32</f>
        <v>11567358.59</v>
      </c>
      <c r="AJ32" s="23">
        <f>'C.1 Federal Expenditures'!AJ32+'C.2 State Expenditures'!AJ32</f>
        <v>0</v>
      </c>
      <c r="AK32" s="23">
        <f>'C.1 Federal Expenditures'!AK32+'C.2 State Expenditures'!AK32</f>
        <v>25782997.779999997</v>
      </c>
      <c r="AL32" s="23">
        <f>'C.1 Federal Expenditures'!AL32+'C.2 State Expenditures'!AL32</f>
        <v>844524.59</v>
      </c>
      <c r="AM32" s="23">
        <f>'C.1 Federal Expenditures'!AM32+'C.2 State Expenditures'!AM32</f>
        <v>25028291.030000001</v>
      </c>
      <c r="AN32" s="23">
        <f>'C.1 Federal Expenditures'!AN32+'C.2 State Expenditures'!AN32</f>
        <v>7643900.8499999996</v>
      </c>
      <c r="AO32" s="23">
        <f>'C.1 Federal Expenditures'!AO32+'C.2 State Expenditures'!AO32</f>
        <v>13851890.029999999</v>
      </c>
      <c r="AP32" s="23">
        <f>'C.1 Federal Expenditures'!AP32+'C.2 State Expenditures'!AP32</f>
        <v>3532500.16</v>
      </c>
      <c r="AQ32" s="23">
        <f>'C.1 Federal Expenditures'!AQ32+'C.2 State Expenditures'!AQ32</f>
        <v>0</v>
      </c>
      <c r="AR32" s="23">
        <f>'C.1 Federal Expenditures'!AR32+'C.2 State Expenditures'!AR32</f>
        <v>134073565.55000001</v>
      </c>
      <c r="AS32" s="23">
        <f>'C.1 Federal Expenditures'!AS32</f>
        <v>57118726.300000004</v>
      </c>
      <c r="AT32" s="23">
        <f>'C.1 Federal Expenditures'!AT32</f>
        <v>0</v>
      </c>
      <c r="AU32" s="8"/>
      <c r="AV32" s="8"/>
      <c r="AW32" s="8"/>
      <c r="AX32" s="8"/>
      <c r="AY32" s="8"/>
      <c r="AZ32" s="8"/>
      <c r="BA32" s="8"/>
      <c r="BB32" s="8"/>
      <c r="BC32" s="8"/>
      <c r="BD32" s="8"/>
      <c r="BE32" s="8"/>
    </row>
    <row r="33" spans="1:57" x14ac:dyDescent="0.25">
      <c r="A33" s="33" t="s">
        <v>144</v>
      </c>
      <c r="B33" s="23">
        <f>'C.1 Federal Expenditures'!B33+'C.2 State Expenditures'!B33</f>
        <v>38394141</v>
      </c>
      <c r="C33" s="23">
        <f>'C.1 Federal Expenditures'!C33+'C.2 State Expenditures'!C33</f>
        <v>0</v>
      </c>
      <c r="D33" s="23">
        <f>'C.1 Federal Expenditures'!D33+'C.2 State Expenditures'!D33</f>
        <v>936937</v>
      </c>
      <c r="E33" s="23">
        <f>'C.1 Federal Expenditures'!E33+'C.2 State Expenditures'!E33</f>
        <v>37457204</v>
      </c>
      <c r="F33" s="23">
        <f>'C.1 Federal Expenditures'!F33+'C.2 State Expenditures'!F33</f>
        <v>66976778.349999994</v>
      </c>
      <c r="G33" s="23">
        <f>'C.1 Federal Expenditures'!G33+'C.2 State Expenditures'!G33</f>
        <v>29383540.669999998</v>
      </c>
      <c r="H33" s="23">
        <f>'C.1 Federal Expenditures'!H33+'C.2 State Expenditures'!H33</f>
        <v>27637906.620000001</v>
      </c>
      <c r="I33" s="23">
        <f>'C.1 Federal Expenditures'!I33+'C.2 State Expenditures'!I33</f>
        <v>1745634.0499999998</v>
      </c>
      <c r="J33" s="23">
        <f>'C.1 Federal Expenditures'!J33+'C.2 State Expenditures'!J33</f>
        <v>7454186.0600000005</v>
      </c>
      <c r="K33" s="23">
        <f>'C.1 Federal Expenditures'!K33+'C.2 State Expenditures'!K33</f>
        <v>5392424.7800000003</v>
      </c>
      <c r="L33" s="23">
        <f>'C.1 Federal Expenditures'!L33+'C.2 State Expenditures'!L33</f>
        <v>1736804.42</v>
      </c>
      <c r="M33" s="23">
        <f>'C.1 Federal Expenditures'!M33+'C.2 State Expenditures'!M33</f>
        <v>324956.86</v>
      </c>
      <c r="N33" s="23">
        <f>'C.1 Federal Expenditures'!N33+'C.2 State Expenditures'!N33</f>
        <v>0</v>
      </c>
      <c r="O33" s="23">
        <f>'C.1 Federal Expenditures'!O33+'C.2 State Expenditures'!O33</f>
        <v>0</v>
      </c>
      <c r="P33" s="23">
        <f>'C.1 Federal Expenditures'!P33+'C.2 State Expenditures'!P33</f>
        <v>0</v>
      </c>
      <c r="Q33" s="23">
        <f>'C.1 Federal Expenditures'!Q33+'C.2 State Expenditures'!Q33</f>
        <v>0</v>
      </c>
      <c r="R33" s="23">
        <f>'C.1 Federal Expenditures'!R33+'C.2 State Expenditures'!R33</f>
        <v>6249202.3399999999</v>
      </c>
      <c r="S33" s="23">
        <f>'C.1 Federal Expenditures'!S33+'C.2 State Expenditures'!S33</f>
        <v>0</v>
      </c>
      <c r="T33" s="23">
        <f>'C.1 Federal Expenditures'!T33+'C.2 State Expenditures'!T33</f>
        <v>252517.09</v>
      </c>
      <c r="U33" s="23">
        <f>'C.1 Federal Expenditures'!U33+'C.2 State Expenditures'!U33</f>
        <v>5996685.25</v>
      </c>
      <c r="V33" s="23">
        <f>'C.1 Federal Expenditures'!V33+'C.2 State Expenditures'!V33</f>
        <v>206200.16</v>
      </c>
      <c r="W33" s="23">
        <f>'C.1 Federal Expenditures'!W33+'C.2 State Expenditures'!W33</f>
        <v>4581872</v>
      </c>
      <c r="X33" s="23">
        <f>'C.1 Federal Expenditures'!X33+'C.2 State Expenditures'!X33</f>
        <v>4581872</v>
      </c>
      <c r="Y33" s="23">
        <f>'C.1 Federal Expenditures'!Y33+'C.2 State Expenditures'!Y33</f>
        <v>0</v>
      </c>
      <c r="Z33" s="23">
        <f>'C.1 Federal Expenditures'!Z33+'C.2 State Expenditures'!Z33</f>
        <v>0</v>
      </c>
      <c r="AA33" s="23">
        <f>'C.1 Federal Expenditures'!AA33+'C.2 State Expenditures'!AA33</f>
        <v>0</v>
      </c>
      <c r="AB33" s="23">
        <f>'C.1 Federal Expenditures'!AB33+'C.2 State Expenditures'!AB33</f>
        <v>0</v>
      </c>
      <c r="AC33" s="23">
        <f>'C.1 Federal Expenditures'!AC33+'C.2 State Expenditures'!AC33</f>
        <v>2098459.38</v>
      </c>
      <c r="AD33" s="23">
        <f>'C.1 Federal Expenditures'!AD33+'C.2 State Expenditures'!AD33</f>
        <v>0</v>
      </c>
      <c r="AE33" s="23">
        <f>'C.1 Federal Expenditures'!AE33+'C.2 State Expenditures'!AE33</f>
        <v>0</v>
      </c>
      <c r="AF33" s="23">
        <f>'C.1 Federal Expenditures'!AF33+'C.2 State Expenditures'!AF33</f>
        <v>104329.73</v>
      </c>
      <c r="AG33" s="23">
        <f>'C.1 Federal Expenditures'!AG33+'C.2 State Expenditures'!AG33</f>
        <v>0</v>
      </c>
      <c r="AH33" s="23">
        <f>'C.1 Federal Expenditures'!AH33+'C.2 State Expenditures'!AH33</f>
        <v>0</v>
      </c>
      <c r="AI33" s="23">
        <f>'C.1 Federal Expenditures'!AI33+'C.2 State Expenditures'!AI33</f>
        <v>0</v>
      </c>
      <c r="AJ33" s="23">
        <f>'C.1 Federal Expenditures'!AJ33+'C.2 State Expenditures'!AJ33</f>
        <v>0</v>
      </c>
      <c r="AK33" s="23">
        <f>'C.1 Federal Expenditures'!AK33+'C.2 State Expenditures'!AK33</f>
        <v>0</v>
      </c>
      <c r="AL33" s="23">
        <f>'C.1 Federal Expenditures'!AL33+'C.2 State Expenditures'!AL33</f>
        <v>1953933.82</v>
      </c>
      <c r="AM33" s="23">
        <f>'C.1 Federal Expenditures'!AM33+'C.2 State Expenditures'!AM33</f>
        <v>9377166.9199999999</v>
      </c>
      <c r="AN33" s="23">
        <f>'C.1 Federal Expenditures'!AN33+'C.2 State Expenditures'!AN33</f>
        <v>6375701.4699999997</v>
      </c>
      <c r="AO33" s="23">
        <f>'C.1 Federal Expenditures'!AO33+'C.2 State Expenditures'!AO33</f>
        <v>0</v>
      </c>
      <c r="AP33" s="23">
        <f>'C.1 Federal Expenditures'!AP33+'C.2 State Expenditures'!AP33</f>
        <v>3001465.45</v>
      </c>
      <c r="AQ33" s="23">
        <f>'C.1 Federal Expenditures'!AQ33+'C.2 State Expenditures'!AQ33</f>
        <v>4366109.18</v>
      </c>
      <c r="AR33" s="23">
        <f>'C.1 Federal Expenditures'!AR33+'C.2 State Expenditures'!AR33</f>
        <v>65775000.25</v>
      </c>
      <c r="AS33" s="23">
        <f>'C.1 Federal Expenditures'!AS33</f>
        <v>0</v>
      </c>
      <c r="AT33" s="23">
        <f>'C.1 Federal Expenditures'!AT33</f>
        <v>70774085.090000004</v>
      </c>
      <c r="AU33" s="8"/>
      <c r="AV33" s="8"/>
      <c r="AW33" s="8"/>
      <c r="AX33" s="8"/>
      <c r="AY33" s="8"/>
      <c r="AZ33" s="8"/>
      <c r="BA33" s="8"/>
      <c r="BB33" s="8"/>
      <c r="BC33" s="8"/>
      <c r="BD33" s="8"/>
      <c r="BE33" s="8"/>
    </row>
    <row r="34" spans="1:57" x14ac:dyDescent="0.25">
      <c r="A34" s="33" t="s">
        <v>145</v>
      </c>
      <c r="B34" s="23">
        <f>'C.1 Federal Expenditures'!B34+'C.2 State Expenditures'!B34</f>
        <v>402701508</v>
      </c>
      <c r="C34" s="23">
        <f>'C.1 Federal Expenditures'!C34+'C.2 State Expenditures'!C34</f>
        <v>91042000</v>
      </c>
      <c r="D34" s="23">
        <f>'C.1 Federal Expenditures'!D34+'C.2 State Expenditures'!D34</f>
        <v>9377000</v>
      </c>
      <c r="E34" s="23">
        <f>'C.1 Federal Expenditures'!E34+'C.2 State Expenditures'!E34</f>
        <v>302282508</v>
      </c>
      <c r="F34" s="23">
        <f>'C.1 Federal Expenditures'!F34+'C.2 State Expenditures'!F34</f>
        <v>156457006.74000001</v>
      </c>
      <c r="G34" s="23">
        <f>'C.1 Federal Expenditures'!G34+'C.2 State Expenditures'!G34</f>
        <v>101851403.58</v>
      </c>
      <c r="H34" s="23">
        <f>'C.1 Federal Expenditures'!H34+'C.2 State Expenditures'!H34</f>
        <v>101463207.58</v>
      </c>
      <c r="I34" s="23">
        <f>'C.1 Federal Expenditures'!I34+'C.2 State Expenditures'!I34</f>
        <v>388196</v>
      </c>
      <c r="J34" s="23">
        <f>'C.1 Federal Expenditures'!J34+'C.2 State Expenditures'!J34</f>
        <v>6840000</v>
      </c>
      <c r="K34" s="23">
        <f>'C.1 Federal Expenditures'!K34+'C.2 State Expenditures'!K34</f>
        <v>0</v>
      </c>
      <c r="L34" s="23">
        <f>'C.1 Federal Expenditures'!L34+'C.2 State Expenditures'!L34</f>
        <v>0</v>
      </c>
      <c r="M34" s="23">
        <f>'C.1 Federal Expenditures'!M34+'C.2 State Expenditures'!M34</f>
        <v>6840000</v>
      </c>
      <c r="N34" s="23">
        <f>'C.1 Federal Expenditures'!N34+'C.2 State Expenditures'!N34</f>
        <v>0</v>
      </c>
      <c r="O34" s="23">
        <f>'C.1 Federal Expenditures'!O34+'C.2 State Expenditures'!O34</f>
        <v>0</v>
      </c>
      <c r="P34" s="23">
        <f>'C.1 Federal Expenditures'!P34+'C.2 State Expenditures'!P34</f>
        <v>0</v>
      </c>
      <c r="Q34" s="23">
        <f>'C.1 Federal Expenditures'!Q34+'C.2 State Expenditures'!Q34</f>
        <v>0</v>
      </c>
      <c r="R34" s="23">
        <f>'C.1 Federal Expenditures'!R34+'C.2 State Expenditures'!R34</f>
        <v>55501752.960000008</v>
      </c>
      <c r="S34" s="23">
        <f>'C.1 Federal Expenditures'!S34+'C.2 State Expenditures'!S34</f>
        <v>1086623</v>
      </c>
      <c r="T34" s="23">
        <f>'C.1 Federal Expenditures'!T34+'C.2 State Expenditures'!T34</f>
        <v>8996609</v>
      </c>
      <c r="U34" s="23">
        <f>'C.1 Federal Expenditures'!U34+'C.2 State Expenditures'!U34</f>
        <v>45418520.960000001</v>
      </c>
      <c r="V34" s="23">
        <f>'C.1 Federal Expenditures'!V34+'C.2 State Expenditures'!V34</f>
        <v>3534932.76</v>
      </c>
      <c r="W34" s="23">
        <f>'C.1 Federal Expenditures'!W34+'C.2 State Expenditures'!W34</f>
        <v>1280727987</v>
      </c>
      <c r="X34" s="23">
        <f>'C.1 Federal Expenditures'!X34+'C.2 State Expenditures'!X34</f>
        <v>462038651</v>
      </c>
      <c r="Y34" s="23">
        <f>'C.1 Federal Expenditures'!Y34+'C.2 State Expenditures'!Y34</f>
        <v>818689336</v>
      </c>
      <c r="Z34" s="23">
        <f>'C.1 Federal Expenditures'!Z34+'C.2 State Expenditures'!Z34</f>
        <v>3150</v>
      </c>
      <c r="AA34" s="23">
        <f>'C.1 Federal Expenditures'!AA34+'C.2 State Expenditures'!AA34</f>
        <v>415403867.43000001</v>
      </c>
      <c r="AB34" s="23">
        <f>'C.1 Federal Expenditures'!AB34+'C.2 State Expenditures'!AB34</f>
        <v>0</v>
      </c>
      <c r="AC34" s="23">
        <f>'C.1 Federal Expenditures'!AC34+'C.2 State Expenditures'!AC34</f>
        <v>8833759.5</v>
      </c>
      <c r="AD34" s="23">
        <f>'C.1 Federal Expenditures'!AD34+'C.2 State Expenditures'!AD34</f>
        <v>11850945.620000001</v>
      </c>
      <c r="AE34" s="23">
        <f>'C.1 Federal Expenditures'!AE34+'C.2 State Expenditures'!AE34</f>
        <v>46415179</v>
      </c>
      <c r="AF34" s="23">
        <f>'C.1 Federal Expenditures'!AF34+'C.2 State Expenditures'!AF34</f>
        <v>0</v>
      </c>
      <c r="AG34" s="23">
        <f>'C.1 Federal Expenditures'!AG34+'C.2 State Expenditures'!AG34</f>
        <v>7359998.4800000004</v>
      </c>
      <c r="AH34" s="23">
        <f>'C.1 Federal Expenditures'!AH34+'C.2 State Expenditures'!AH34</f>
        <v>0</v>
      </c>
      <c r="AI34" s="23">
        <f>'C.1 Federal Expenditures'!AI34+'C.2 State Expenditures'!AI34</f>
        <v>0</v>
      </c>
      <c r="AJ34" s="23">
        <f>'C.1 Federal Expenditures'!AJ34+'C.2 State Expenditures'!AJ34</f>
        <v>0</v>
      </c>
      <c r="AK34" s="23">
        <f>'C.1 Federal Expenditures'!AK34+'C.2 State Expenditures'!AK34</f>
        <v>0</v>
      </c>
      <c r="AL34" s="23">
        <f>'C.1 Federal Expenditures'!AL34+'C.2 State Expenditures'!AL34</f>
        <v>2039210</v>
      </c>
      <c r="AM34" s="23">
        <f>'C.1 Federal Expenditures'!AM34+'C.2 State Expenditures'!AM34</f>
        <v>60780951.709999993</v>
      </c>
      <c r="AN34" s="23">
        <f>'C.1 Federal Expenditures'!AN34+'C.2 State Expenditures'!AN34</f>
        <v>57223246.150000006</v>
      </c>
      <c r="AO34" s="23">
        <f>'C.1 Federal Expenditures'!AO34+'C.2 State Expenditures'!AO34</f>
        <v>0</v>
      </c>
      <c r="AP34" s="23">
        <f>'C.1 Federal Expenditures'!AP34+'C.2 State Expenditures'!AP34</f>
        <v>3557705.56</v>
      </c>
      <c r="AQ34" s="23">
        <f>'C.1 Federal Expenditures'!AQ34+'C.2 State Expenditures'!AQ34</f>
        <v>0</v>
      </c>
      <c r="AR34" s="23">
        <f>'C.1 Federal Expenditures'!AR34+'C.2 State Expenditures'!AR34</f>
        <v>2001143138.04</v>
      </c>
      <c r="AS34" s="23">
        <f>'C.1 Federal Expenditures'!AS34</f>
        <v>129336367.62</v>
      </c>
      <c r="AT34" s="23">
        <f>'C.1 Federal Expenditures'!AT34</f>
        <v>0</v>
      </c>
      <c r="AU34" s="8"/>
      <c r="AV34" s="8"/>
      <c r="AW34" s="8"/>
      <c r="AX34" s="8"/>
      <c r="AY34" s="8"/>
      <c r="AZ34" s="8"/>
      <c r="BA34" s="8"/>
      <c r="BB34" s="8"/>
      <c r="BC34" s="8"/>
      <c r="BD34" s="8"/>
      <c r="BE34" s="8"/>
    </row>
    <row r="35" spans="1:57" x14ac:dyDescent="0.25">
      <c r="A35" s="33" t="s">
        <v>146</v>
      </c>
      <c r="B35" s="23">
        <f>'C.1 Federal Expenditures'!B35+'C.2 State Expenditures'!B35</f>
        <v>124246405.27</v>
      </c>
      <c r="C35" s="23">
        <f>'C.1 Federal Expenditures'!C35+'C.2 State Expenditures'!C35</f>
        <v>31527500</v>
      </c>
      <c r="D35" s="23">
        <f>'C.1 Federal Expenditures'!D35+'C.2 State Expenditures'!D35</f>
        <v>0</v>
      </c>
      <c r="E35" s="23">
        <f>'C.1 Federal Expenditures'!E35+'C.2 State Expenditures'!E35</f>
        <v>78392347</v>
      </c>
      <c r="F35" s="23">
        <f>'C.1 Federal Expenditures'!F35+'C.2 State Expenditures'!F35</f>
        <v>79931715.510000005</v>
      </c>
      <c r="G35" s="23">
        <f>'C.1 Federal Expenditures'!G35+'C.2 State Expenditures'!G35</f>
        <v>49470156.419999994</v>
      </c>
      <c r="H35" s="23">
        <f>'C.1 Federal Expenditures'!H35+'C.2 State Expenditures'!H35</f>
        <v>49470156.419999994</v>
      </c>
      <c r="I35" s="23">
        <f>'C.1 Federal Expenditures'!I35+'C.2 State Expenditures'!I35</f>
        <v>0</v>
      </c>
      <c r="J35" s="23">
        <f>'C.1 Federal Expenditures'!J35+'C.2 State Expenditures'!J35</f>
        <v>0</v>
      </c>
      <c r="K35" s="23">
        <f>'C.1 Federal Expenditures'!K35+'C.2 State Expenditures'!K35</f>
        <v>0</v>
      </c>
      <c r="L35" s="23">
        <f>'C.1 Federal Expenditures'!L35+'C.2 State Expenditures'!L35</f>
        <v>0</v>
      </c>
      <c r="M35" s="23">
        <f>'C.1 Federal Expenditures'!M35+'C.2 State Expenditures'!M35</f>
        <v>0</v>
      </c>
      <c r="N35" s="23">
        <f>'C.1 Federal Expenditures'!N35+'C.2 State Expenditures'!N35</f>
        <v>0</v>
      </c>
      <c r="O35" s="23">
        <f>'C.1 Federal Expenditures'!O35+'C.2 State Expenditures'!O35</f>
        <v>0</v>
      </c>
      <c r="P35" s="23">
        <f>'C.1 Federal Expenditures'!P35+'C.2 State Expenditures'!P35</f>
        <v>0</v>
      </c>
      <c r="Q35" s="23">
        <f>'C.1 Federal Expenditures'!Q35+'C.2 State Expenditures'!Q35</f>
        <v>0</v>
      </c>
      <c r="R35" s="23">
        <f>'C.1 Federal Expenditures'!R35+'C.2 State Expenditures'!R35</f>
        <v>15088354.42</v>
      </c>
      <c r="S35" s="23">
        <f>'C.1 Federal Expenditures'!S35+'C.2 State Expenditures'!S35</f>
        <v>2734126.08</v>
      </c>
      <c r="T35" s="23">
        <f>'C.1 Federal Expenditures'!T35+'C.2 State Expenditures'!T35</f>
        <v>3955271.24</v>
      </c>
      <c r="U35" s="23">
        <f>'C.1 Federal Expenditures'!U35+'C.2 State Expenditures'!U35</f>
        <v>8398957.0999999996</v>
      </c>
      <c r="V35" s="23">
        <f>'C.1 Federal Expenditures'!V35+'C.2 State Expenditures'!V35</f>
        <v>813995.54</v>
      </c>
      <c r="W35" s="23">
        <f>'C.1 Federal Expenditures'!W35+'C.2 State Expenditures'!W35</f>
        <v>0</v>
      </c>
      <c r="X35" s="23">
        <f>'C.1 Federal Expenditures'!X35+'C.2 State Expenditures'!X35</f>
        <v>0</v>
      </c>
      <c r="Y35" s="23">
        <f>'C.1 Federal Expenditures'!Y35+'C.2 State Expenditures'!Y35</f>
        <v>0</v>
      </c>
      <c r="Z35" s="23">
        <f>'C.1 Federal Expenditures'!Z35+'C.2 State Expenditures'!Z35</f>
        <v>0</v>
      </c>
      <c r="AA35" s="23">
        <f>'C.1 Federal Expenditures'!AA35+'C.2 State Expenditures'!AA35</f>
        <v>0</v>
      </c>
      <c r="AB35" s="23">
        <f>'C.1 Federal Expenditures'!AB35+'C.2 State Expenditures'!AB35</f>
        <v>194754362</v>
      </c>
      <c r="AC35" s="23">
        <f>'C.1 Federal Expenditures'!AC35+'C.2 State Expenditures'!AC35</f>
        <v>8302471.0099999998</v>
      </c>
      <c r="AD35" s="23">
        <f>'C.1 Federal Expenditures'!AD35+'C.2 State Expenditures'!AD35</f>
        <v>18585245.530000001</v>
      </c>
      <c r="AE35" s="23">
        <f>'C.1 Federal Expenditures'!AE35+'C.2 State Expenditures'!AE35</f>
        <v>6209959.4100000001</v>
      </c>
      <c r="AF35" s="23">
        <f>'C.1 Federal Expenditures'!AF35+'C.2 State Expenditures'!AF35</f>
        <v>1764619</v>
      </c>
      <c r="AG35" s="23">
        <f>'C.1 Federal Expenditures'!AG35+'C.2 State Expenditures'!AG35</f>
        <v>500000</v>
      </c>
      <c r="AH35" s="23">
        <f>'C.1 Federal Expenditures'!AH35+'C.2 State Expenditures'!AH35</f>
        <v>5607333.2699999996</v>
      </c>
      <c r="AI35" s="23">
        <f>'C.1 Federal Expenditures'!AI35+'C.2 State Expenditures'!AI35</f>
        <v>5607333.2699999996</v>
      </c>
      <c r="AJ35" s="23">
        <f>'C.1 Federal Expenditures'!AJ35+'C.2 State Expenditures'!AJ35</f>
        <v>0</v>
      </c>
      <c r="AK35" s="23">
        <f>'C.1 Federal Expenditures'!AK35+'C.2 State Expenditures'!AK35</f>
        <v>0</v>
      </c>
      <c r="AL35" s="23">
        <f>'C.1 Federal Expenditures'!AL35+'C.2 State Expenditures'!AL35</f>
        <v>0</v>
      </c>
      <c r="AM35" s="23">
        <f>'C.1 Federal Expenditures'!AM35+'C.2 State Expenditures'!AM35</f>
        <v>7252359.5899999999</v>
      </c>
      <c r="AN35" s="23">
        <f>'C.1 Federal Expenditures'!AN35+'C.2 State Expenditures'!AN35</f>
        <v>4349630.08</v>
      </c>
      <c r="AO35" s="23">
        <f>'C.1 Federal Expenditures'!AO35+'C.2 State Expenditures'!AO35</f>
        <v>0</v>
      </c>
      <c r="AP35" s="23">
        <f>'C.1 Federal Expenditures'!AP35+'C.2 State Expenditures'!AP35</f>
        <v>2902729.51</v>
      </c>
      <c r="AQ35" s="23">
        <f>'C.1 Federal Expenditures'!AQ35+'C.2 State Expenditures'!AQ35</f>
        <v>0</v>
      </c>
      <c r="AR35" s="23">
        <f>'C.1 Federal Expenditures'!AR35+'C.2 State Expenditures'!AR35</f>
        <v>308348856.16999996</v>
      </c>
      <c r="AS35" s="23">
        <f>'C.1 Federal Expenditures'!AS35</f>
        <v>49706883.799999997</v>
      </c>
      <c r="AT35" s="23">
        <f>'C.1 Federal Expenditures'!AT35</f>
        <v>52675668.030000001</v>
      </c>
      <c r="AU35" s="8"/>
      <c r="AV35" s="8"/>
      <c r="AW35" s="8"/>
      <c r="AX35" s="8"/>
      <c r="AY35" s="8"/>
      <c r="AZ35" s="8"/>
      <c r="BA35" s="8"/>
      <c r="BB35" s="8"/>
      <c r="BC35" s="8"/>
      <c r="BD35" s="8"/>
      <c r="BE35" s="8"/>
    </row>
    <row r="36" spans="1:57" x14ac:dyDescent="0.25">
      <c r="A36" s="33" t="s">
        <v>147</v>
      </c>
      <c r="B36" s="23">
        <f>'C.1 Federal Expenditures'!B36+'C.2 State Expenditures'!B36</f>
        <v>2712409895.1700001</v>
      </c>
      <c r="C36" s="23">
        <f>'C.1 Federal Expenditures'!C36+'C.2 State Expenditures'!C36</f>
        <v>496340000</v>
      </c>
      <c r="D36" s="23">
        <f>'C.1 Federal Expenditures'!D36+'C.2 State Expenditures'!D36</f>
        <v>204568802</v>
      </c>
      <c r="E36" s="23">
        <f>'C.1 Federal Expenditures'!E36+'C.2 State Expenditures'!E36</f>
        <v>1733960129</v>
      </c>
      <c r="F36" s="23">
        <f>'C.1 Federal Expenditures'!F36+'C.2 State Expenditures'!F36</f>
        <v>1725011809.8200002</v>
      </c>
      <c r="G36" s="23">
        <f>'C.1 Federal Expenditures'!G36+'C.2 State Expenditures'!G36</f>
        <v>1498630368</v>
      </c>
      <c r="H36" s="23">
        <f>'C.1 Federal Expenditures'!H36+'C.2 State Expenditures'!H36</f>
        <v>1498630368</v>
      </c>
      <c r="I36" s="23">
        <f>'C.1 Federal Expenditures'!I36+'C.2 State Expenditures'!I36</f>
        <v>0</v>
      </c>
      <c r="J36" s="23">
        <f>'C.1 Federal Expenditures'!J36+'C.2 State Expenditures'!J36</f>
        <v>118553096.25</v>
      </c>
      <c r="K36" s="23">
        <f>'C.1 Federal Expenditures'!K36+'C.2 State Expenditures'!K36</f>
        <v>104277000.25</v>
      </c>
      <c r="L36" s="23">
        <f>'C.1 Federal Expenditures'!L36+'C.2 State Expenditures'!L36</f>
        <v>14276096</v>
      </c>
      <c r="M36" s="23">
        <f>'C.1 Federal Expenditures'!M36+'C.2 State Expenditures'!M36</f>
        <v>0</v>
      </c>
      <c r="N36" s="23">
        <f>'C.1 Federal Expenditures'!N36+'C.2 State Expenditures'!N36</f>
        <v>60508037</v>
      </c>
      <c r="O36" s="23">
        <f>'C.1 Federal Expenditures'!O36+'C.2 State Expenditures'!O36</f>
        <v>12883576</v>
      </c>
      <c r="P36" s="23">
        <f>'C.1 Federal Expenditures'!P36+'C.2 State Expenditures'!P36</f>
        <v>2938023</v>
      </c>
      <c r="Q36" s="23">
        <f>'C.1 Federal Expenditures'!Q36+'C.2 State Expenditures'!Q36</f>
        <v>44686438</v>
      </c>
      <c r="R36" s="23">
        <f>'C.1 Federal Expenditures'!R36+'C.2 State Expenditures'!R36</f>
        <v>95965547.269999996</v>
      </c>
      <c r="S36" s="23">
        <f>'C.1 Federal Expenditures'!S36+'C.2 State Expenditures'!S36</f>
        <v>11242217</v>
      </c>
      <c r="T36" s="23">
        <f>'C.1 Federal Expenditures'!T36+'C.2 State Expenditures'!T36</f>
        <v>5824011.2699999996</v>
      </c>
      <c r="U36" s="23">
        <f>'C.1 Federal Expenditures'!U36+'C.2 State Expenditures'!U36</f>
        <v>78899319</v>
      </c>
      <c r="V36" s="23">
        <f>'C.1 Federal Expenditures'!V36+'C.2 State Expenditures'!V36</f>
        <v>1472473</v>
      </c>
      <c r="W36" s="23">
        <f>'C.1 Federal Expenditures'!W36+'C.2 State Expenditures'!W36</f>
        <v>733615621.69000006</v>
      </c>
      <c r="X36" s="23">
        <f>'C.1 Federal Expenditures'!X36+'C.2 State Expenditures'!X36</f>
        <v>101983998</v>
      </c>
      <c r="Y36" s="23">
        <f>'C.1 Federal Expenditures'!Y36+'C.2 State Expenditures'!Y36</f>
        <v>631631623.69000006</v>
      </c>
      <c r="Z36" s="23">
        <f>'C.1 Federal Expenditures'!Z36+'C.2 State Expenditures'!Z36</f>
        <v>47301</v>
      </c>
      <c r="AA36" s="23">
        <f>'C.1 Federal Expenditures'!AA36+'C.2 State Expenditures'!AA36</f>
        <v>1130922680.0699999</v>
      </c>
      <c r="AB36" s="23">
        <f>'C.1 Federal Expenditures'!AB36+'C.2 State Expenditures'!AB36</f>
        <v>470053976.25999999</v>
      </c>
      <c r="AC36" s="23">
        <f>'C.1 Federal Expenditures'!AC36+'C.2 State Expenditures'!AC36</f>
        <v>340311892</v>
      </c>
      <c r="AD36" s="23">
        <f>'C.1 Federal Expenditures'!AD36+'C.2 State Expenditures'!AD36</f>
        <v>48166053.57</v>
      </c>
      <c r="AE36" s="23">
        <f>'C.1 Federal Expenditures'!AE36+'C.2 State Expenditures'!AE36</f>
        <v>17707480.259999998</v>
      </c>
      <c r="AF36" s="23">
        <f>'C.1 Federal Expenditures'!AF36+'C.2 State Expenditures'!AF36</f>
        <v>0</v>
      </c>
      <c r="AG36" s="23">
        <f>'C.1 Federal Expenditures'!AG36+'C.2 State Expenditures'!AG36</f>
        <v>155938</v>
      </c>
      <c r="AH36" s="23">
        <f>'C.1 Federal Expenditures'!AH36+'C.2 State Expenditures'!AH36</f>
        <v>200894686.97999999</v>
      </c>
      <c r="AI36" s="23">
        <f>'C.1 Federal Expenditures'!AI36+'C.2 State Expenditures'!AI36</f>
        <v>149932122.97999999</v>
      </c>
      <c r="AJ36" s="23">
        <f>'C.1 Federal Expenditures'!AJ36+'C.2 State Expenditures'!AJ36</f>
        <v>0</v>
      </c>
      <c r="AK36" s="23">
        <f>'C.1 Federal Expenditures'!AK36+'C.2 State Expenditures'!AK36</f>
        <v>50962564</v>
      </c>
      <c r="AL36" s="23">
        <f>'C.1 Federal Expenditures'!AL36+'C.2 State Expenditures'!AL36</f>
        <v>1644641</v>
      </c>
      <c r="AM36" s="23">
        <f>'C.1 Federal Expenditures'!AM36+'C.2 State Expenditures'!AM36</f>
        <v>499841643</v>
      </c>
      <c r="AN36" s="23">
        <f>'C.1 Federal Expenditures'!AN36+'C.2 State Expenditures'!AN36</f>
        <v>449168826</v>
      </c>
      <c r="AO36" s="23">
        <f>'C.1 Federal Expenditures'!AO36+'C.2 State Expenditures'!AO36</f>
        <v>47914263</v>
      </c>
      <c r="AP36" s="23">
        <f>'C.1 Federal Expenditures'!AP36+'C.2 State Expenditures'!AP36</f>
        <v>2758554</v>
      </c>
      <c r="AQ36" s="23">
        <f>'C.1 Federal Expenditures'!AQ36+'C.2 State Expenditures'!AQ36</f>
        <v>0</v>
      </c>
      <c r="AR36" s="23">
        <f>'C.1 Federal Expenditures'!AR36+'C.2 State Expenditures'!AR36</f>
        <v>5218491435.3500004</v>
      </c>
      <c r="AS36" s="23">
        <f>'C.1 Federal Expenditures'!AS36</f>
        <v>85459193.49000001</v>
      </c>
      <c r="AT36" s="23">
        <f>'C.1 Federal Expenditures'!AT36</f>
        <v>1760093607.7400002</v>
      </c>
      <c r="AU36" s="8"/>
      <c r="AV36" s="8"/>
      <c r="AW36" s="8"/>
      <c r="AX36" s="8"/>
      <c r="AY36" s="8"/>
      <c r="AZ36" s="8"/>
      <c r="BA36" s="8"/>
      <c r="BB36" s="8"/>
      <c r="BC36" s="8"/>
      <c r="BD36" s="8"/>
      <c r="BE36" s="8"/>
    </row>
    <row r="37" spans="1:57" x14ac:dyDescent="0.25">
      <c r="A37" s="33" t="s">
        <v>148</v>
      </c>
      <c r="B37" s="23">
        <f>'C.1 Federal Expenditures'!B37+'C.2 State Expenditures'!B37</f>
        <v>334560477.76999998</v>
      </c>
      <c r="C37" s="23">
        <f>'C.1 Federal Expenditures'!C37+'C.2 State Expenditures'!C37</f>
        <v>21773001</v>
      </c>
      <c r="D37" s="23">
        <f>'C.1 Federal Expenditures'!D37+'C.2 State Expenditures'!D37</f>
        <v>19778937</v>
      </c>
      <c r="E37" s="23">
        <f>'C.1 Federal Expenditures'!E37+'C.2 State Expenditures'!E37</f>
        <v>258671144</v>
      </c>
      <c r="F37" s="23">
        <f>'C.1 Federal Expenditures'!F37+'C.2 State Expenditures'!F37</f>
        <v>41836225</v>
      </c>
      <c r="G37" s="23">
        <f>'C.1 Federal Expenditures'!G37+'C.2 State Expenditures'!G37</f>
        <v>16855606</v>
      </c>
      <c r="H37" s="23">
        <f>'C.1 Federal Expenditures'!H37+'C.2 State Expenditures'!H37</f>
        <v>16855606</v>
      </c>
      <c r="I37" s="23">
        <f>'C.1 Federal Expenditures'!I37+'C.2 State Expenditures'!I37</f>
        <v>0</v>
      </c>
      <c r="J37" s="23">
        <f>'C.1 Federal Expenditures'!J37+'C.2 State Expenditures'!J37</f>
        <v>0</v>
      </c>
      <c r="K37" s="23">
        <f>'C.1 Federal Expenditures'!K37+'C.2 State Expenditures'!K37</f>
        <v>0</v>
      </c>
      <c r="L37" s="23">
        <f>'C.1 Federal Expenditures'!L37+'C.2 State Expenditures'!L37</f>
        <v>0</v>
      </c>
      <c r="M37" s="23">
        <f>'C.1 Federal Expenditures'!M37+'C.2 State Expenditures'!M37</f>
        <v>0</v>
      </c>
      <c r="N37" s="23">
        <f>'C.1 Federal Expenditures'!N37+'C.2 State Expenditures'!N37</f>
        <v>74795673</v>
      </c>
      <c r="O37" s="23">
        <f>'C.1 Federal Expenditures'!O37+'C.2 State Expenditures'!O37</f>
        <v>74795673</v>
      </c>
      <c r="P37" s="23">
        <f>'C.1 Federal Expenditures'!P37+'C.2 State Expenditures'!P37</f>
        <v>0</v>
      </c>
      <c r="Q37" s="23">
        <f>'C.1 Federal Expenditures'!Q37+'C.2 State Expenditures'!Q37</f>
        <v>0</v>
      </c>
      <c r="R37" s="23">
        <f>'C.1 Federal Expenditures'!R37+'C.2 State Expenditures'!R37</f>
        <v>3536525</v>
      </c>
      <c r="S37" s="23">
        <f>'C.1 Federal Expenditures'!S37+'C.2 State Expenditures'!S37</f>
        <v>0</v>
      </c>
      <c r="T37" s="23">
        <f>'C.1 Federal Expenditures'!T37+'C.2 State Expenditures'!T37</f>
        <v>2276891</v>
      </c>
      <c r="U37" s="23">
        <f>'C.1 Federal Expenditures'!U37+'C.2 State Expenditures'!U37</f>
        <v>1259634</v>
      </c>
      <c r="V37" s="23">
        <f>'C.1 Federal Expenditures'!V37+'C.2 State Expenditures'!V37</f>
        <v>702283</v>
      </c>
      <c r="W37" s="23">
        <f>'C.1 Federal Expenditures'!W37+'C.2 State Expenditures'!W37</f>
        <v>237600626.17000002</v>
      </c>
      <c r="X37" s="23">
        <f>'C.1 Federal Expenditures'!X37+'C.2 State Expenditures'!X37</f>
        <v>195229918.17000002</v>
      </c>
      <c r="Y37" s="23">
        <f>'C.1 Federal Expenditures'!Y37+'C.2 State Expenditures'!Y37</f>
        <v>42370708</v>
      </c>
      <c r="Z37" s="23">
        <f>'C.1 Federal Expenditures'!Z37+'C.2 State Expenditures'!Z37</f>
        <v>0</v>
      </c>
      <c r="AA37" s="23">
        <f>'C.1 Federal Expenditures'!AA37+'C.2 State Expenditures'!AA37</f>
        <v>0</v>
      </c>
      <c r="AB37" s="23">
        <f>'C.1 Federal Expenditures'!AB37+'C.2 State Expenditures'!AB37</f>
        <v>0</v>
      </c>
      <c r="AC37" s="23">
        <f>'C.1 Federal Expenditures'!AC37+'C.2 State Expenditures'!AC37</f>
        <v>1980018</v>
      </c>
      <c r="AD37" s="23">
        <f>'C.1 Federal Expenditures'!AD37+'C.2 State Expenditures'!AD37</f>
        <v>200316</v>
      </c>
      <c r="AE37" s="23">
        <f>'C.1 Federal Expenditures'!AE37+'C.2 State Expenditures'!AE37</f>
        <v>3247639</v>
      </c>
      <c r="AF37" s="23">
        <f>'C.1 Federal Expenditures'!AF37+'C.2 State Expenditures'!AF37</f>
        <v>0</v>
      </c>
      <c r="AG37" s="23">
        <f>'C.1 Federal Expenditures'!AG37+'C.2 State Expenditures'!AG37</f>
        <v>94465</v>
      </c>
      <c r="AH37" s="23">
        <f>'C.1 Federal Expenditures'!AH37+'C.2 State Expenditures'!AH37</f>
        <v>91949765</v>
      </c>
      <c r="AI37" s="23">
        <f>'C.1 Federal Expenditures'!AI37+'C.2 State Expenditures'!AI37</f>
        <v>10519387</v>
      </c>
      <c r="AJ37" s="23">
        <f>'C.1 Federal Expenditures'!AJ37+'C.2 State Expenditures'!AJ37</f>
        <v>283564</v>
      </c>
      <c r="AK37" s="23">
        <f>'C.1 Federal Expenditures'!AK37+'C.2 State Expenditures'!AK37</f>
        <v>81146814</v>
      </c>
      <c r="AL37" s="23">
        <f>'C.1 Federal Expenditures'!AL37+'C.2 State Expenditures'!AL37</f>
        <v>0</v>
      </c>
      <c r="AM37" s="23">
        <f>'C.1 Federal Expenditures'!AM37+'C.2 State Expenditures'!AM37</f>
        <v>68006652</v>
      </c>
      <c r="AN37" s="23">
        <f>'C.1 Federal Expenditures'!AN37+'C.2 State Expenditures'!AN37</f>
        <v>49364959</v>
      </c>
      <c r="AO37" s="23">
        <f>'C.1 Federal Expenditures'!AO37+'C.2 State Expenditures'!AO37</f>
        <v>17691280</v>
      </c>
      <c r="AP37" s="23">
        <f>'C.1 Federal Expenditures'!AP37+'C.2 State Expenditures'!AP37</f>
        <v>950413</v>
      </c>
      <c r="AQ37" s="23">
        <f>'C.1 Federal Expenditures'!AQ37+'C.2 State Expenditures'!AQ37</f>
        <v>0</v>
      </c>
      <c r="AR37" s="23">
        <f>'C.1 Federal Expenditures'!AR37+'C.2 State Expenditures'!AR37</f>
        <v>498969568.17000002</v>
      </c>
      <c r="AS37" s="23">
        <f>'C.1 Federal Expenditures'!AS37</f>
        <v>53126883</v>
      </c>
      <c r="AT37" s="23">
        <f>'C.1 Federal Expenditures'!AT37</f>
        <v>45177.599999999999</v>
      </c>
      <c r="AU37" s="8"/>
      <c r="AV37" s="8"/>
      <c r="AW37" s="8"/>
      <c r="AX37" s="8"/>
      <c r="AY37" s="8"/>
      <c r="AZ37" s="8"/>
      <c r="BA37" s="8"/>
      <c r="BB37" s="8"/>
      <c r="BC37" s="8"/>
      <c r="BD37" s="8"/>
      <c r="BE37" s="8"/>
    </row>
    <row r="38" spans="1:57" x14ac:dyDescent="0.25">
      <c r="A38" s="33" t="s">
        <v>149</v>
      </c>
      <c r="B38" s="23">
        <f>'C.1 Federal Expenditures'!B38+'C.2 State Expenditures'!B38</f>
        <v>26312690</v>
      </c>
      <c r="C38" s="23">
        <f>'C.1 Federal Expenditures'!C38+'C.2 State Expenditures'!C38</f>
        <v>0</v>
      </c>
      <c r="D38" s="23">
        <f>'C.1 Federal Expenditures'!D38+'C.2 State Expenditures'!D38</f>
        <v>0</v>
      </c>
      <c r="E38" s="23">
        <f>'C.1 Federal Expenditures'!E38+'C.2 State Expenditures'!E38</f>
        <v>26312690</v>
      </c>
      <c r="F38" s="23">
        <f>'C.1 Federal Expenditures'!F38+'C.2 State Expenditures'!F38</f>
        <v>21992415</v>
      </c>
      <c r="G38" s="23">
        <f>'C.1 Federal Expenditures'!G38+'C.2 State Expenditures'!G38</f>
        <v>5097666</v>
      </c>
      <c r="H38" s="23">
        <f>'C.1 Federal Expenditures'!H38+'C.2 State Expenditures'!H38</f>
        <v>4710100</v>
      </c>
      <c r="I38" s="23">
        <f>'C.1 Federal Expenditures'!I38+'C.2 State Expenditures'!I38</f>
        <v>387566</v>
      </c>
      <c r="J38" s="23">
        <f>'C.1 Federal Expenditures'!J38+'C.2 State Expenditures'!J38</f>
        <v>9823550</v>
      </c>
      <c r="K38" s="23">
        <f>'C.1 Federal Expenditures'!K38+'C.2 State Expenditures'!K38</f>
        <v>9823550</v>
      </c>
      <c r="L38" s="23">
        <f>'C.1 Federal Expenditures'!L38+'C.2 State Expenditures'!L38</f>
        <v>0</v>
      </c>
      <c r="M38" s="23">
        <f>'C.1 Federal Expenditures'!M38+'C.2 State Expenditures'!M38</f>
        <v>0</v>
      </c>
      <c r="N38" s="23">
        <f>'C.1 Federal Expenditures'!N38+'C.2 State Expenditures'!N38</f>
        <v>912597</v>
      </c>
      <c r="O38" s="23">
        <f>'C.1 Federal Expenditures'!O38+'C.2 State Expenditures'!O38</f>
        <v>912597</v>
      </c>
      <c r="P38" s="23">
        <f>'C.1 Federal Expenditures'!P38+'C.2 State Expenditures'!P38</f>
        <v>0</v>
      </c>
      <c r="Q38" s="23">
        <f>'C.1 Federal Expenditures'!Q38+'C.2 State Expenditures'!Q38</f>
        <v>0</v>
      </c>
      <c r="R38" s="23">
        <f>'C.1 Federal Expenditures'!R38+'C.2 State Expenditures'!R38</f>
        <v>4391612</v>
      </c>
      <c r="S38" s="23">
        <f>'C.1 Federal Expenditures'!S38+'C.2 State Expenditures'!S38</f>
        <v>0</v>
      </c>
      <c r="T38" s="23">
        <f>'C.1 Federal Expenditures'!T38+'C.2 State Expenditures'!T38</f>
        <v>9850</v>
      </c>
      <c r="U38" s="23">
        <f>'C.1 Federal Expenditures'!U38+'C.2 State Expenditures'!U38</f>
        <v>4381762</v>
      </c>
      <c r="V38" s="23">
        <f>'C.1 Federal Expenditures'!V38+'C.2 State Expenditures'!V38</f>
        <v>505392</v>
      </c>
      <c r="W38" s="23">
        <f>'C.1 Federal Expenditures'!W38+'C.2 State Expenditures'!W38</f>
        <v>1157831</v>
      </c>
      <c r="X38" s="23">
        <f>'C.1 Federal Expenditures'!X38+'C.2 State Expenditures'!X38</f>
        <v>1157831</v>
      </c>
      <c r="Y38" s="23">
        <f>'C.1 Federal Expenditures'!Y38+'C.2 State Expenditures'!Y38</f>
        <v>0</v>
      </c>
      <c r="Z38" s="23">
        <f>'C.1 Federal Expenditures'!Z38+'C.2 State Expenditures'!Z38</f>
        <v>0</v>
      </c>
      <c r="AA38" s="23">
        <f>'C.1 Federal Expenditures'!AA38+'C.2 State Expenditures'!AA38</f>
        <v>0</v>
      </c>
      <c r="AB38" s="23">
        <f>'C.1 Federal Expenditures'!AB38+'C.2 State Expenditures'!AB38</f>
        <v>0</v>
      </c>
      <c r="AC38" s="23">
        <f>'C.1 Federal Expenditures'!AC38+'C.2 State Expenditures'!AC38</f>
        <v>0</v>
      </c>
      <c r="AD38" s="23">
        <f>'C.1 Federal Expenditures'!AD38+'C.2 State Expenditures'!AD38</f>
        <v>0</v>
      </c>
      <c r="AE38" s="23">
        <f>'C.1 Federal Expenditures'!AE38+'C.2 State Expenditures'!AE38</f>
        <v>0</v>
      </c>
      <c r="AF38" s="23">
        <f>'C.1 Federal Expenditures'!AF38+'C.2 State Expenditures'!AF38</f>
        <v>0</v>
      </c>
      <c r="AG38" s="23">
        <f>'C.1 Federal Expenditures'!AG38+'C.2 State Expenditures'!AG38</f>
        <v>0</v>
      </c>
      <c r="AH38" s="23">
        <f>'C.1 Federal Expenditures'!AH38+'C.2 State Expenditures'!AH38</f>
        <v>2178723</v>
      </c>
      <c r="AI38" s="23">
        <f>'C.1 Federal Expenditures'!AI38+'C.2 State Expenditures'!AI38</f>
        <v>2178723</v>
      </c>
      <c r="AJ38" s="23">
        <f>'C.1 Federal Expenditures'!AJ38+'C.2 State Expenditures'!AJ38</f>
        <v>0</v>
      </c>
      <c r="AK38" s="23">
        <f>'C.1 Federal Expenditures'!AK38+'C.2 State Expenditures'!AK38</f>
        <v>0</v>
      </c>
      <c r="AL38" s="23">
        <f>'C.1 Federal Expenditures'!AL38+'C.2 State Expenditures'!AL38</f>
        <v>0</v>
      </c>
      <c r="AM38" s="23">
        <f>'C.1 Federal Expenditures'!AM38+'C.2 State Expenditures'!AM38</f>
        <v>5244506</v>
      </c>
      <c r="AN38" s="23">
        <f>'C.1 Federal Expenditures'!AN38+'C.2 State Expenditures'!AN38</f>
        <v>4119128</v>
      </c>
      <c r="AO38" s="23">
        <f>'C.1 Federal Expenditures'!AO38+'C.2 State Expenditures'!AO38</f>
        <v>90799</v>
      </c>
      <c r="AP38" s="23">
        <f>'C.1 Federal Expenditures'!AP38+'C.2 State Expenditures'!AP38</f>
        <v>1034579</v>
      </c>
      <c r="AQ38" s="23">
        <f>'C.1 Federal Expenditures'!AQ38+'C.2 State Expenditures'!AQ38</f>
        <v>0</v>
      </c>
      <c r="AR38" s="23">
        <f>'C.1 Federal Expenditures'!AR38+'C.2 State Expenditures'!AR38</f>
        <v>29311877</v>
      </c>
      <c r="AS38" s="23">
        <f>'C.1 Federal Expenditures'!AS38</f>
        <v>0</v>
      </c>
      <c r="AT38" s="23">
        <f>'C.1 Federal Expenditures'!AT38</f>
        <v>28062514</v>
      </c>
      <c r="AU38" s="8"/>
      <c r="AV38" s="8"/>
      <c r="AW38" s="8"/>
      <c r="AX38" s="8"/>
      <c r="AY38" s="8"/>
      <c r="AZ38" s="8"/>
      <c r="BA38" s="8"/>
      <c r="BB38" s="8"/>
      <c r="BC38" s="8"/>
      <c r="BD38" s="8"/>
      <c r="BE38" s="8"/>
    </row>
    <row r="39" spans="1:57" x14ac:dyDescent="0.25">
      <c r="A39" s="33" t="s">
        <v>150</v>
      </c>
      <c r="B39" s="23">
        <f>'C.1 Federal Expenditures'!B39+'C.2 State Expenditures'!B39</f>
        <v>724288381</v>
      </c>
      <c r="C39" s="23">
        <f>'C.1 Federal Expenditures'!C39+'C.2 State Expenditures'!C39</f>
        <v>0</v>
      </c>
      <c r="D39" s="23">
        <f>'C.1 Federal Expenditures'!D39+'C.2 State Expenditures'!D39</f>
        <v>72428838.099999994</v>
      </c>
      <c r="E39" s="23">
        <f>'C.1 Federal Expenditures'!E39+'C.2 State Expenditures'!E39</f>
        <v>651859542.89999998</v>
      </c>
      <c r="F39" s="23">
        <f>'C.1 Federal Expenditures'!F39+'C.2 State Expenditures'!F39</f>
        <v>647705440.92999995</v>
      </c>
      <c r="G39" s="23">
        <f>'C.1 Federal Expenditures'!G39+'C.2 State Expenditures'!G39</f>
        <v>218767214.59999999</v>
      </c>
      <c r="H39" s="23">
        <f>'C.1 Federal Expenditures'!H39+'C.2 State Expenditures'!H39</f>
        <v>218767214.59999999</v>
      </c>
      <c r="I39" s="23">
        <f>'C.1 Federal Expenditures'!I39+'C.2 State Expenditures'!I39</f>
        <v>0</v>
      </c>
      <c r="J39" s="23">
        <f>'C.1 Federal Expenditures'!J39+'C.2 State Expenditures'!J39</f>
        <v>0</v>
      </c>
      <c r="K39" s="23">
        <f>'C.1 Federal Expenditures'!K39+'C.2 State Expenditures'!K39</f>
        <v>0</v>
      </c>
      <c r="L39" s="23">
        <f>'C.1 Federal Expenditures'!L39+'C.2 State Expenditures'!L39</f>
        <v>0</v>
      </c>
      <c r="M39" s="23">
        <f>'C.1 Federal Expenditures'!M39+'C.2 State Expenditures'!M39</f>
        <v>0</v>
      </c>
      <c r="N39" s="23">
        <f>'C.1 Federal Expenditures'!N39+'C.2 State Expenditures'!N39</f>
        <v>0</v>
      </c>
      <c r="O39" s="23">
        <f>'C.1 Federal Expenditures'!O39+'C.2 State Expenditures'!O39</f>
        <v>0</v>
      </c>
      <c r="P39" s="23">
        <f>'C.1 Federal Expenditures'!P39+'C.2 State Expenditures'!P39</f>
        <v>0</v>
      </c>
      <c r="Q39" s="23">
        <f>'C.1 Federal Expenditures'!Q39+'C.2 State Expenditures'!Q39</f>
        <v>0</v>
      </c>
      <c r="R39" s="23">
        <f>'C.1 Federal Expenditures'!R39+'C.2 State Expenditures'!R39</f>
        <v>108410818.45</v>
      </c>
      <c r="S39" s="23">
        <f>'C.1 Federal Expenditures'!S39+'C.2 State Expenditures'!S39</f>
        <v>27272193.009999998</v>
      </c>
      <c r="T39" s="23">
        <f>'C.1 Federal Expenditures'!T39+'C.2 State Expenditures'!T39</f>
        <v>28712729.18</v>
      </c>
      <c r="U39" s="23">
        <f>'C.1 Federal Expenditures'!U39+'C.2 State Expenditures'!U39</f>
        <v>52425896.269999996</v>
      </c>
      <c r="V39" s="23">
        <f>'C.1 Federal Expenditures'!V39+'C.2 State Expenditures'!V39</f>
        <v>64692798.57</v>
      </c>
      <c r="W39" s="23">
        <f>'C.1 Federal Expenditures'!W39+'C.2 State Expenditures'!W39</f>
        <v>398954140.93000001</v>
      </c>
      <c r="X39" s="23">
        <f>'C.1 Federal Expenditures'!X39+'C.2 State Expenditures'!X39</f>
        <v>398310706.32999998</v>
      </c>
      <c r="Y39" s="23">
        <f>'C.1 Federal Expenditures'!Y39+'C.2 State Expenditures'!Y39</f>
        <v>643434.6</v>
      </c>
      <c r="Z39" s="23">
        <f>'C.1 Federal Expenditures'!Z39+'C.2 State Expenditures'!Z39</f>
        <v>0</v>
      </c>
      <c r="AA39" s="23">
        <f>'C.1 Federal Expenditures'!AA39+'C.2 State Expenditures'!AA39</f>
        <v>0</v>
      </c>
      <c r="AB39" s="23">
        <f>'C.1 Federal Expenditures'!AB39+'C.2 State Expenditures'!AB39</f>
        <v>0</v>
      </c>
      <c r="AC39" s="23">
        <f>'C.1 Federal Expenditures'!AC39+'C.2 State Expenditures'!AC39</f>
        <v>65288445.600000001</v>
      </c>
      <c r="AD39" s="23">
        <f>'C.1 Federal Expenditures'!AD39+'C.2 State Expenditures'!AD39</f>
        <v>15413388.780000001</v>
      </c>
      <c r="AE39" s="23">
        <f>'C.1 Federal Expenditures'!AE39+'C.2 State Expenditures'!AE39</f>
        <v>21307739.350000001</v>
      </c>
      <c r="AF39" s="23">
        <f>'C.1 Federal Expenditures'!AF39+'C.2 State Expenditures'!AF39</f>
        <v>122025169.90000001</v>
      </c>
      <c r="AG39" s="23">
        <f>'C.1 Federal Expenditures'!AG39+'C.2 State Expenditures'!AG39</f>
        <v>13156029.32</v>
      </c>
      <c r="AH39" s="23">
        <f>'C.1 Federal Expenditures'!AH39+'C.2 State Expenditures'!AH39</f>
        <v>10832265.26</v>
      </c>
      <c r="AI39" s="23">
        <f>'C.1 Federal Expenditures'!AI39+'C.2 State Expenditures'!AI39</f>
        <v>4237670.6500000004</v>
      </c>
      <c r="AJ39" s="23">
        <f>'C.1 Federal Expenditures'!AJ39+'C.2 State Expenditures'!AJ39</f>
        <v>0</v>
      </c>
      <c r="AK39" s="23">
        <f>'C.1 Federal Expenditures'!AK39+'C.2 State Expenditures'!AK39</f>
        <v>6594594.6100000003</v>
      </c>
      <c r="AL39" s="23">
        <f>'C.1 Federal Expenditures'!AL39+'C.2 State Expenditures'!AL39</f>
        <v>0</v>
      </c>
      <c r="AM39" s="23">
        <f>'C.1 Federal Expenditures'!AM39+'C.2 State Expenditures'!AM39</f>
        <v>150158107.65000001</v>
      </c>
      <c r="AN39" s="23">
        <f>'C.1 Federal Expenditures'!AN39+'C.2 State Expenditures'!AN39</f>
        <v>101490991.83</v>
      </c>
      <c r="AO39" s="23">
        <f>'C.1 Federal Expenditures'!AO39+'C.2 State Expenditures'!AO39</f>
        <v>30350253.060000002</v>
      </c>
      <c r="AP39" s="23">
        <f>'C.1 Federal Expenditures'!AP39+'C.2 State Expenditures'!AP39</f>
        <v>18316862.760000002</v>
      </c>
      <c r="AQ39" s="23">
        <f>'C.1 Federal Expenditures'!AQ39+'C.2 State Expenditures'!AQ39</f>
        <v>0</v>
      </c>
      <c r="AR39" s="23">
        <f>'C.1 Federal Expenditures'!AR39+'C.2 State Expenditures'!AR39</f>
        <v>1189006118.4100001</v>
      </c>
      <c r="AS39" s="23">
        <f>'C.1 Federal Expenditures'!AS39</f>
        <v>0</v>
      </c>
      <c r="AT39" s="23">
        <f>'C.1 Federal Expenditures'!AT39</f>
        <v>629928179.23000002</v>
      </c>
      <c r="AU39" s="8"/>
      <c r="AV39" s="8"/>
      <c r="AW39" s="8"/>
      <c r="AX39" s="8"/>
      <c r="AY39" s="8"/>
      <c r="AZ39" s="8"/>
      <c r="BA39" s="8"/>
      <c r="BB39" s="8"/>
      <c r="BC39" s="8"/>
      <c r="BD39" s="8"/>
      <c r="BE39" s="8"/>
    </row>
    <row r="40" spans="1:57" x14ac:dyDescent="0.25">
      <c r="A40" s="33" t="s">
        <v>151</v>
      </c>
      <c r="B40" s="23">
        <f>'C.1 Federal Expenditures'!B40+'C.2 State Expenditures'!B40</f>
        <v>138007998</v>
      </c>
      <c r="C40" s="23">
        <f>'C.1 Federal Expenditures'!C40+'C.2 State Expenditures'!C40</f>
        <v>27601599</v>
      </c>
      <c r="D40" s="23">
        <f>'C.1 Federal Expenditures'!D40+'C.2 State Expenditures'!D40</f>
        <v>13800799</v>
      </c>
      <c r="E40" s="23">
        <f>'C.1 Federal Expenditures'!E40+'C.2 State Expenditures'!E40</f>
        <v>96605600</v>
      </c>
      <c r="F40" s="23">
        <f>'C.1 Federal Expenditures'!F40+'C.2 State Expenditures'!F40</f>
        <v>353177059</v>
      </c>
      <c r="G40" s="23">
        <f>'C.1 Federal Expenditures'!G40+'C.2 State Expenditures'!G40</f>
        <v>10766975</v>
      </c>
      <c r="H40" s="23">
        <f>'C.1 Federal Expenditures'!H40+'C.2 State Expenditures'!H40</f>
        <v>9712053</v>
      </c>
      <c r="I40" s="23">
        <f>'C.1 Federal Expenditures'!I40+'C.2 State Expenditures'!I40</f>
        <v>1054922</v>
      </c>
      <c r="J40" s="23">
        <f>'C.1 Federal Expenditures'!J40+'C.2 State Expenditures'!J40</f>
        <v>5297677</v>
      </c>
      <c r="K40" s="23">
        <f>'C.1 Federal Expenditures'!K40+'C.2 State Expenditures'!K40</f>
        <v>5297677</v>
      </c>
      <c r="L40" s="23">
        <f>'C.1 Federal Expenditures'!L40+'C.2 State Expenditures'!L40</f>
        <v>0</v>
      </c>
      <c r="M40" s="23">
        <f>'C.1 Federal Expenditures'!M40+'C.2 State Expenditures'!M40</f>
        <v>0</v>
      </c>
      <c r="N40" s="23">
        <f>'C.1 Federal Expenditures'!N40+'C.2 State Expenditures'!N40</f>
        <v>0</v>
      </c>
      <c r="O40" s="23">
        <f>'C.1 Federal Expenditures'!O40+'C.2 State Expenditures'!O40</f>
        <v>0</v>
      </c>
      <c r="P40" s="23">
        <f>'C.1 Federal Expenditures'!P40+'C.2 State Expenditures'!P40</f>
        <v>0</v>
      </c>
      <c r="Q40" s="23">
        <f>'C.1 Federal Expenditures'!Q40+'C.2 State Expenditures'!Q40</f>
        <v>0</v>
      </c>
      <c r="R40" s="23">
        <f>'C.1 Federal Expenditures'!R40+'C.2 State Expenditures'!R40</f>
        <v>37646625</v>
      </c>
      <c r="S40" s="23">
        <f>'C.1 Federal Expenditures'!S40+'C.2 State Expenditures'!S40</f>
        <v>0</v>
      </c>
      <c r="T40" s="23">
        <f>'C.1 Federal Expenditures'!T40+'C.2 State Expenditures'!T40</f>
        <v>37646625</v>
      </c>
      <c r="U40" s="23">
        <f>'C.1 Federal Expenditures'!U40+'C.2 State Expenditures'!U40</f>
        <v>0</v>
      </c>
      <c r="V40" s="23">
        <f>'C.1 Federal Expenditures'!V40+'C.2 State Expenditures'!V40</f>
        <v>312253</v>
      </c>
      <c r="W40" s="23">
        <f>'C.1 Federal Expenditures'!W40+'C.2 State Expenditures'!W40</f>
        <v>124105041</v>
      </c>
      <c r="X40" s="23">
        <f>'C.1 Federal Expenditures'!X40+'C.2 State Expenditures'!X40</f>
        <v>124105041</v>
      </c>
      <c r="Y40" s="23">
        <f>'C.1 Federal Expenditures'!Y40+'C.2 State Expenditures'!Y40</f>
        <v>0</v>
      </c>
      <c r="Z40" s="23">
        <f>'C.1 Federal Expenditures'!Z40+'C.2 State Expenditures'!Z40</f>
        <v>0</v>
      </c>
      <c r="AA40" s="23">
        <f>'C.1 Federal Expenditures'!AA40+'C.2 State Expenditures'!AA40</f>
        <v>0</v>
      </c>
      <c r="AB40" s="23">
        <f>'C.1 Federal Expenditures'!AB40+'C.2 State Expenditures'!AB40</f>
        <v>0</v>
      </c>
      <c r="AC40" s="23">
        <f>'C.1 Federal Expenditures'!AC40+'C.2 State Expenditures'!AC40</f>
        <v>876759</v>
      </c>
      <c r="AD40" s="23">
        <f>'C.1 Federal Expenditures'!AD40+'C.2 State Expenditures'!AD40</f>
        <v>0</v>
      </c>
      <c r="AE40" s="23">
        <f>'C.1 Federal Expenditures'!AE40+'C.2 State Expenditures'!AE40</f>
        <v>9677404</v>
      </c>
      <c r="AF40" s="23">
        <f>'C.1 Federal Expenditures'!AF40+'C.2 State Expenditures'!AF40</f>
        <v>0</v>
      </c>
      <c r="AG40" s="23">
        <f>'C.1 Federal Expenditures'!AG40+'C.2 State Expenditures'!AG40</f>
        <v>28929398</v>
      </c>
      <c r="AH40" s="23">
        <f>'C.1 Federal Expenditures'!AH40+'C.2 State Expenditures'!AH40</f>
        <v>9839577</v>
      </c>
      <c r="AI40" s="23">
        <f>'C.1 Federal Expenditures'!AI40+'C.2 State Expenditures'!AI40</f>
        <v>9444048</v>
      </c>
      <c r="AJ40" s="23">
        <f>'C.1 Federal Expenditures'!AJ40+'C.2 State Expenditures'!AJ40</f>
        <v>0</v>
      </c>
      <c r="AK40" s="23">
        <f>'C.1 Federal Expenditures'!AK40+'C.2 State Expenditures'!AK40</f>
        <v>395529</v>
      </c>
      <c r="AL40" s="23">
        <f>'C.1 Federal Expenditures'!AL40+'C.2 State Expenditures'!AL40</f>
        <v>0</v>
      </c>
      <c r="AM40" s="23">
        <f>'C.1 Federal Expenditures'!AM40+'C.2 State Expenditures'!AM40</f>
        <v>11863183</v>
      </c>
      <c r="AN40" s="23">
        <f>'C.1 Federal Expenditures'!AN40+'C.2 State Expenditures'!AN40</f>
        <v>8561367</v>
      </c>
      <c r="AO40" s="23">
        <f>'C.1 Federal Expenditures'!AO40+'C.2 State Expenditures'!AO40</f>
        <v>2525010</v>
      </c>
      <c r="AP40" s="23">
        <f>'C.1 Federal Expenditures'!AP40+'C.2 State Expenditures'!AP40</f>
        <v>776806</v>
      </c>
      <c r="AQ40" s="23">
        <f>'C.1 Federal Expenditures'!AQ40+'C.2 State Expenditures'!AQ40</f>
        <v>210643</v>
      </c>
      <c r="AR40" s="23">
        <f>'C.1 Federal Expenditures'!AR40+'C.2 State Expenditures'!AR40</f>
        <v>239525535</v>
      </c>
      <c r="AS40" s="23">
        <f>'C.1 Federal Expenditures'!AS40</f>
        <v>170950462.40000001</v>
      </c>
      <c r="AT40" s="23">
        <f>'C.1 Federal Expenditures'!AT40</f>
        <v>96605598.599999994</v>
      </c>
      <c r="AU40" s="8"/>
      <c r="AV40" s="8"/>
      <c r="AW40" s="8"/>
      <c r="AX40" s="8"/>
      <c r="AY40" s="8"/>
      <c r="AZ40" s="8"/>
      <c r="BA40" s="8"/>
      <c r="BB40" s="8"/>
      <c r="BC40" s="8"/>
      <c r="BD40" s="8"/>
      <c r="BE40" s="8"/>
    </row>
    <row r="41" spans="1:57" x14ac:dyDescent="0.25">
      <c r="A41" s="33" t="s">
        <v>152</v>
      </c>
      <c r="B41" s="23">
        <f>'C.1 Federal Expenditures'!B41+'C.2 State Expenditures'!B41</f>
        <v>184913354.41</v>
      </c>
      <c r="C41" s="23">
        <f>'C.1 Federal Expenditures'!C41+'C.2 State Expenditures'!C41</f>
        <v>0</v>
      </c>
      <c r="D41" s="23">
        <f>'C.1 Federal Expenditures'!D41+'C.2 State Expenditures'!D41</f>
        <v>0</v>
      </c>
      <c r="E41" s="23">
        <f>'C.1 Federal Expenditures'!E41+'C.2 State Expenditures'!E41</f>
        <v>165835476</v>
      </c>
      <c r="F41" s="23">
        <f>'C.1 Federal Expenditures'!F41+'C.2 State Expenditures'!F41</f>
        <v>176939286.62</v>
      </c>
      <c r="G41" s="23">
        <f>'C.1 Federal Expenditures'!G41+'C.2 State Expenditures'!G41</f>
        <v>78534753.730000004</v>
      </c>
      <c r="H41" s="23">
        <f>'C.1 Federal Expenditures'!H41+'C.2 State Expenditures'!H41</f>
        <v>78534753.730000004</v>
      </c>
      <c r="I41" s="23">
        <f>'C.1 Federal Expenditures'!I41+'C.2 State Expenditures'!I41</f>
        <v>0</v>
      </c>
      <c r="J41" s="23">
        <f>'C.1 Federal Expenditures'!J41+'C.2 State Expenditures'!J41</f>
        <v>18703162.560000002</v>
      </c>
      <c r="K41" s="23">
        <f>'C.1 Federal Expenditures'!K41+'C.2 State Expenditures'!K41</f>
        <v>14843869.1</v>
      </c>
      <c r="L41" s="23">
        <f>'C.1 Federal Expenditures'!L41+'C.2 State Expenditures'!L41</f>
        <v>0</v>
      </c>
      <c r="M41" s="23">
        <f>'C.1 Federal Expenditures'!M41+'C.2 State Expenditures'!M41</f>
        <v>3859293.4600000004</v>
      </c>
      <c r="N41" s="23">
        <f>'C.1 Federal Expenditures'!N41+'C.2 State Expenditures'!N41</f>
        <v>0</v>
      </c>
      <c r="O41" s="23">
        <f>'C.1 Federal Expenditures'!O41+'C.2 State Expenditures'!O41</f>
        <v>0</v>
      </c>
      <c r="P41" s="23">
        <f>'C.1 Federal Expenditures'!P41+'C.2 State Expenditures'!P41</f>
        <v>0</v>
      </c>
      <c r="Q41" s="23">
        <f>'C.1 Federal Expenditures'!Q41+'C.2 State Expenditures'!Q41</f>
        <v>0</v>
      </c>
      <c r="R41" s="23">
        <f>'C.1 Federal Expenditures'!R41+'C.2 State Expenditures'!R41</f>
        <v>19717014.25</v>
      </c>
      <c r="S41" s="23">
        <f>'C.1 Federal Expenditures'!S41+'C.2 State Expenditures'!S41</f>
        <v>496213.55</v>
      </c>
      <c r="T41" s="23">
        <f>'C.1 Federal Expenditures'!T41+'C.2 State Expenditures'!T41</f>
        <v>3119590.54</v>
      </c>
      <c r="U41" s="23">
        <f>'C.1 Federal Expenditures'!U41+'C.2 State Expenditures'!U41</f>
        <v>16101210.16</v>
      </c>
      <c r="V41" s="23">
        <f>'C.1 Federal Expenditures'!V41+'C.2 State Expenditures'!V41</f>
        <v>13497877.149999999</v>
      </c>
      <c r="W41" s="23">
        <f>'C.1 Federal Expenditures'!W41+'C.2 State Expenditures'!W41</f>
        <v>25332643.48</v>
      </c>
      <c r="X41" s="23">
        <f>'C.1 Federal Expenditures'!X41+'C.2 State Expenditures'!X41</f>
        <v>56167.29</v>
      </c>
      <c r="Y41" s="23">
        <f>'C.1 Federal Expenditures'!Y41+'C.2 State Expenditures'!Y41</f>
        <v>25276476.190000001</v>
      </c>
      <c r="Z41" s="23">
        <f>'C.1 Federal Expenditures'!Z41+'C.2 State Expenditures'!Z41</f>
        <v>0</v>
      </c>
      <c r="AA41" s="23">
        <f>'C.1 Federal Expenditures'!AA41+'C.2 State Expenditures'!AA41</f>
        <v>32205000</v>
      </c>
      <c r="AB41" s="23">
        <f>'C.1 Federal Expenditures'!AB41+'C.2 State Expenditures'!AB41</f>
        <v>27721600.399999999</v>
      </c>
      <c r="AC41" s="23">
        <f>'C.1 Federal Expenditures'!AC41+'C.2 State Expenditures'!AC41</f>
        <v>46335733.269999996</v>
      </c>
      <c r="AD41" s="23">
        <f>'C.1 Federal Expenditures'!AD41+'C.2 State Expenditures'!AD41</f>
        <v>14962018.029999999</v>
      </c>
      <c r="AE41" s="23">
        <f>'C.1 Federal Expenditures'!AE41+'C.2 State Expenditures'!AE41</f>
        <v>0</v>
      </c>
      <c r="AF41" s="23">
        <f>'C.1 Federal Expenditures'!AF41+'C.2 State Expenditures'!AF41</f>
        <v>0</v>
      </c>
      <c r="AG41" s="23">
        <f>'C.1 Federal Expenditures'!AG41+'C.2 State Expenditures'!AG41</f>
        <v>0</v>
      </c>
      <c r="AH41" s="23">
        <f>'C.1 Federal Expenditures'!AH41+'C.2 State Expenditures'!AH41</f>
        <v>0</v>
      </c>
      <c r="AI41" s="23">
        <f>'C.1 Federal Expenditures'!AI41+'C.2 State Expenditures'!AI41</f>
        <v>0</v>
      </c>
      <c r="AJ41" s="23">
        <f>'C.1 Federal Expenditures'!AJ41+'C.2 State Expenditures'!AJ41</f>
        <v>0</v>
      </c>
      <c r="AK41" s="23">
        <f>'C.1 Federal Expenditures'!AK41+'C.2 State Expenditures'!AK41</f>
        <v>0</v>
      </c>
      <c r="AL41" s="23">
        <f>'C.1 Federal Expenditures'!AL41+'C.2 State Expenditures'!AL41</f>
        <v>0</v>
      </c>
      <c r="AM41" s="23">
        <f>'C.1 Federal Expenditures'!AM41+'C.2 State Expenditures'!AM41</f>
        <v>77752440.019999996</v>
      </c>
      <c r="AN41" s="23">
        <f>'C.1 Federal Expenditures'!AN41+'C.2 State Expenditures'!AN41</f>
        <v>24603193.740000002</v>
      </c>
      <c r="AO41" s="23">
        <f>'C.1 Federal Expenditures'!AO41+'C.2 State Expenditures'!AO41</f>
        <v>53149246.289999992</v>
      </c>
      <c r="AP41" s="23">
        <f>'C.1 Federal Expenditures'!AP41+'C.2 State Expenditures'!AP41</f>
        <v>0</v>
      </c>
      <c r="AQ41" s="23">
        <f>'C.1 Federal Expenditures'!AQ41+'C.2 State Expenditures'!AQ41</f>
        <v>0</v>
      </c>
      <c r="AR41" s="23">
        <f>'C.1 Federal Expenditures'!AR41+'C.2 State Expenditures'!AR41</f>
        <v>354762242.89999998</v>
      </c>
      <c r="AS41" s="23">
        <f>'C.1 Federal Expenditures'!AS41</f>
        <v>0</v>
      </c>
      <c r="AT41" s="23">
        <f>'C.1 Federal Expenditures'!AT41</f>
        <v>172605225.86000001</v>
      </c>
      <c r="AU41" s="8"/>
      <c r="AV41" s="8"/>
      <c r="AW41" s="8"/>
      <c r="AX41" s="8"/>
      <c r="AY41" s="8"/>
      <c r="AZ41" s="8"/>
      <c r="BA41" s="8"/>
      <c r="BB41" s="8"/>
      <c r="BC41" s="8"/>
      <c r="BD41" s="8"/>
      <c r="BE41" s="8"/>
    </row>
    <row r="42" spans="1:57" x14ac:dyDescent="0.25">
      <c r="A42" s="33" t="s">
        <v>153</v>
      </c>
      <c r="B42" s="23">
        <f>'C.1 Federal Expenditures'!B42+'C.2 State Expenditures'!B42</f>
        <v>717124957</v>
      </c>
      <c r="C42" s="23">
        <f>'C.1 Federal Expenditures'!C42+'C.2 State Expenditures'!C42</f>
        <v>45025500</v>
      </c>
      <c r="D42" s="23">
        <f>'C.1 Federal Expenditures'!D42+'C.2 State Expenditures'!D42</f>
        <v>30977000</v>
      </c>
      <c r="E42" s="23">
        <f>'C.1 Federal Expenditures'!E42+'C.2 State Expenditures'!E42</f>
        <v>641122457</v>
      </c>
      <c r="F42" s="23">
        <f>'C.1 Federal Expenditures'!F42+'C.2 State Expenditures'!F42</f>
        <v>1451216978.4300001</v>
      </c>
      <c r="G42" s="23">
        <f>'C.1 Federal Expenditures'!G42+'C.2 State Expenditures'!G42</f>
        <v>89266129</v>
      </c>
      <c r="H42" s="23">
        <f>'C.1 Federal Expenditures'!H42+'C.2 State Expenditures'!H42</f>
        <v>89266129</v>
      </c>
      <c r="I42" s="23">
        <f>'C.1 Federal Expenditures'!I42+'C.2 State Expenditures'!I42</f>
        <v>0</v>
      </c>
      <c r="J42" s="23">
        <f>'C.1 Federal Expenditures'!J42+'C.2 State Expenditures'!J42</f>
        <v>0</v>
      </c>
      <c r="K42" s="23">
        <f>'C.1 Federal Expenditures'!K42+'C.2 State Expenditures'!K42</f>
        <v>0</v>
      </c>
      <c r="L42" s="23">
        <f>'C.1 Federal Expenditures'!L42+'C.2 State Expenditures'!L42</f>
        <v>0</v>
      </c>
      <c r="M42" s="23">
        <f>'C.1 Federal Expenditures'!M42+'C.2 State Expenditures'!M42</f>
        <v>0</v>
      </c>
      <c r="N42" s="23">
        <f>'C.1 Federal Expenditures'!N42+'C.2 State Expenditures'!N42</f>
        <v>1914903</v>
      </c>
      <c r="O42" s="23">
        <f>'C.1 Federal Expenditures'!O42+'C.2 State Expenditures'!O42</f>
        <v>1478721</v>
      </c>
      <c r="P42" s="23">
        <f>'C.1 Federal Expenditures'!P42+'C.2 State Expenditures'!P42</f>
        <v>0</v>
      </c>
      <c r="Q42" s="23">
        <f>'C.1 Federal Expenditures'!Q42+'C.2 State Expenditures'!Q42</f>
        <v>436182</v>
      </c>
      <c r="R42" s="23">
        <f>'C.1 Federal Expenditures'!R42+'C.2 State Expenditures'!R42</f>
        <v>98212459</v>
      </c>
      <c r="S42" s="23">
        <f>'C.1 Federal Expenditures'!S42+'C.2 State Expenditures'!S42</f>
        <v>0</v>
      </c>
      <c r="T42" s="23">
        <f>'C.1 Federal Expenditures'!T42+'C.2 State Expenditures'!T42</f>
        <v>1652666</v>
      </c>
      <c r="U42" s="23">
        <f>'C.1 Federal Expenditures'!U42+'C.2 State Expenditures'!U42</f>
        <v>96559793</v>
      </c>
      <c r="V42" s="23">
        <f>'C.1 Federal Expenditures'!V42+'C.2 State Expenditures'!V42</f>
        <v>2627341</v>
      </c>
      <c r="W42" s="23">
        <f>'C.1 Federal Expenditures'!W42+'C.2 State Expenditures'!W42</f>
        <v>707322479</v>
      </c>
      <c r="X42" s="23">
        <f>'C.1 Federal Expenditures'!X42+'C.2 State Expenditures'!X42</f>
        <v>346642286</v>
      </c>
      <c r="Y42" s="23">
        <f>'C.1 Federal Expenditures'!Y42+'C.2 State Expenditures'!Y42</f>
        <v>360680193</v>
      </c>
      <c r="Z42" s="23">
        <f>'C.1 Federal Expenditures'!Z42+'C.2 State Expenditures'!Z42</f>
        <v>0</v>
      </c>
      <c r="AA42" s="23">
        <f>'C.1 Federal Expenditures'!AA42+'C.2 State Expenditures'!AA42</f>
        <v>0</v>
      </c>
      <c r="AB42" s="23">
        <f>'C.1 Federal Expenditures'!AB42+'C.2 State Expenditures'!AB42</f>
        <v>0</v>
      </c>
      <c r="AC42" s="23">
        <f>'C.1 Federal Expenditures'!AC42+'C.2 State Expenditures'!AC42</f>
        <v>21383258</v>
      </c>
      <c r="AD42" s="23">
        <f>'C.1 Federal Expenditures'!AD42+'C.2 State Expenditures'!AD42</f>
        <v>0</v>
      </c>
      <c r="AE42" s="23">
        <f>'C.1 Federal Expenditures'!AE42+'C.2 State Expenditures'!AE42</f>
        <v>0</v>
      </c>
      <c r="AF42" s="23">
        <f>'C.1 Federal Expenditures'!AF42+'C.2 State Expenditures'!AF42</f>
        <v>39005095</v>
      </c>
      <c r="AG42" s="23">
        <f>'C.1 Federal Expenditures'!AG42+'C.2 State Expenditures'!AG42</f>
        <v>225964</v>
      </c>
      <c r="AH42" s="23">
        <f>'C.1 Federal Expenditures'!AH42+'C.2 State Expenditures'!AH42</f>
        <v>65016330</v>
      </c>
      <c r="AI42" s="23">
        <f>'C.1 Federal Expenditures'!AI42+'C.2 State Expenditures'!AI42</f>
        <v>0</v>
      </c>
      <c r="AJ42" s="23">
        <f>'C.1 Federal Expenditures'!AJ42+'C.2 State Expenditures'!AJ42</f>
        <v>0</v>
      </c>
      <c r="AK42" s="23">
        <f>'C.1 Federal Expenditures'!AK42+'C.2 State Expenditures'!AK42</f>
        <v>65016330</v>
      </c>
      <c r="AL42" s="23">
        <f>'C.1 Federal Expenditures'!AL42+'C.2 State Expenditures'!AL42</f>
        <v>13312929</v>
      </c>
      <c r="AM42" s="23">
        <f>'C.1 Federal Expenditures'!AM42+'C.2 State Expenditures'!AM42</f>
        <v>65243281</v>
      </c>
      <c r="AN42" s="23">
        <f>'C.1 Federal Expenditures'!AN42+'C.2 State Expenditures'!AN42</f>
        <v>53110841</v>
      </c>
      <c r="AO42" s="23">
        <f>'C.1 Federal Expenditures'!AO42+'C.2 State Expenditures'!AO42</f>
        <v>0</v>
      </c>
      <c r="AP42" s="23">
        <f>'C.1 Federal Expenditures'!AP42+'C.2 State Expenditures'!AP42</f>
        <v>12132440</v>
      </c>
      <c r="AQ42" s="23">
        <f>'C.1 Federal Expenditures'!AQ42+'C.2 State Expenditures'!AQ42</f>
        <v>0</v>
      </c>
      <c r="AR42" s="23">
        <f>'C.1 Federal Expenditures'!AR42+'C.2 State Expenditures'!AR42</f>
        <v>1103530168</v>
      </c>
      <c r="AS42" s="23">
        <f>'C.1 Federal Expenditures'!AS42</f>
        <v>337979332</v>
      </c>
      <c r="AT42" s="23">
        <f>'C.1 Federal Expenditures'!AT42</f>
        <v>1347943907.4300001</v>
      </c>
      <c r="AU42" s="8"/>
      <c r="AV42" s="8"/>
      <c r="AW42" s="8"/>
      <c r="AX42" s="8"/>
      <c r="AY42" s="8"/>
      <c r="AZ42" s="8"/>
      <c r="BA42" s="8"/>
      <c r="BB42" s="8"/>
      <c r="BC42" s="8"/>
      <c r="BD42" s="8"/>
      <c r="BE42" s="8"/>
    </row>
    <row r="43" spans="1:57" x14ac:dyDescent="0.25">
      <c r="A43" s="33" t="s">
        <v>154</v>
      </c>
      <c r="B43" s="23">
        <f>'C.1 Federal Expenditures'!B43+'C.2 State Expenditures'!B43</f>
        <v>93842484</v>
      </c>
      <c r="C43" s="23">
        <f>'C.1 Federal Expenditures'!C43+'C.2 State Expenditures'!C43</f>
        <v>0</v>
      </c>
      <c r="D43" s="23">
        <f>'C.1 Federal Expenditures'!D43+'C.2 State Expenditures'!D43</f>
        <v>5916722.46</v>
      </c>
      <c r="E43" s="23">
        <f>'C.1 Federal Expenditures'!E43+'C.2 State Expenditures'!E43</f>
        <v>87925761.540000007</v>
      </c>
      <c r="F43" s="23">
        <f>'C.1 Federal Expenditures'!F43+'C.2 State Expenditures'!F43</f>
        <v>105964304.18000001</v>
      </c>
      <c r="G43" s="23">
        <f>'C.1 Federal Expenditures'!G43+'C.2 State Expenditures'!G43</f>
        <v>28690264.330000002</v>
      </c>
      <c r="H43" s="23">
        <f>'C.1 Federal Expenditures'!H43+'C.2 State Expenditures'!H43</f>
        <v>28690264.330000002</v>
      </c>
      <c r="I43" s="23">
        <f>'C.1 Federal Expenditures'!I43+'C.2 State Expenditures'!I43</f>
        <v>0</v>
      </c>
      <c r="J43" s="23">
        <f>'C.1 Federal Expenditures'!J43+'C.2 State Expenditures'!J43</f>
        <v>0</v>
      </c>
      <c r="K43" s="23">
        <f>'C.1 Federal Expenditures'!K43+'C.2 State Expenditures'!K43</f>
        <v>0</v>
      </c>
      <c r="L43" s="23">
        <f>'C.1 Federal Expenditures'!L43+'C.2 State Expenditures'!L43</f>
        <v>0</v>
      </c>
      <c r="M43" s="23">
        <f>'C.1 Federal Expenditures'!M43+'C.2 State Expenditures'!M43</f>
        <v>0</v>
      </c>
      <c r="N43" s="23">
        <f>'C.1 Federal Expenditures'!N43+'C.2 State Expenditures'!N43</f>
        <v>7074988.5199999996</v>
      </c>
      <c r="O43" s="23">
        <f>'C.1 Federal Expenditures'!O43+'C.2 State Expenditures'!O43</f>
        <v>0</v>
      </c>
      <c r="P43" s="23">
        <f>'C.1 Federal Expenditures'!P43+'C.2 State Expenditures'!P43</f>
        <v>0</v>
      </c>
      <c r="Q43" s="23">
        <f>'C.1 Federal Expenditures'!Q43+'C.2 State Expenditures'!Q43</f>
        <v>7074988.5199999996</v>
      </c>
      <c r="R43" s="23">
        <f>'C.1 Federal Expenditures'!R43+'C.2 State Expenditures'!R43</f>
        <v>12321967.619999999</v>
      </c>
      <c r="S43" s="23">
        <f>'C.1 Federal Expenditures'!S43+'C.2 State Expenditures'!S43</f>
        <v>0</v>
      </c>
      <c r="T43" s="23">
        <f>'C.1 Federal Expenditures'!T43+'C.2 State Expenditures'!T43</f>
        <v>0</v>
      </c>
      <c r="U43" s="23">
        <f>'C.1 Federal Expenditures'!U43+'C.2 State Expenditures'!U43</f>
        <v>12321967.619999999</v>
      </c>
      <c r="V43" s="23">
        <f>'C.1 Federal Expenditures'!V43+'C.2 State Expenditures'!V43</f>
        <v>1353682.82</v>
      </c>
      <c r="W43" s="23">
        <f>'C.1 Federal Expenditures'!W43+'C.2 State Expenditures'!W43</f>
        <v>31025908</v>
      </c>
      <c r="X43" s="23">
        <f>'C.1 Federal Expenditures'!X43+'C.2 State Expenditures'!X43</f>
        <v>27510677.02</v>
      </c>
      <c r="Y43" s="23">
        <f>'C.1 Federal Expenditures'!Y43+'C.2 State Expenditures'!Y43</f>
        <v>3515230.98</v>
      </c>
      <c r="Z43" s="23">
        <f>'C.1 Federal Expenditures'!Z43+'C.2 State Expenditures'!Z43</f>
        <v>0</v>
      </c>
      <c r="AA43" s="23">
        <f>'C.1 Federal Expenditures'!AA43+'C.2 State Expenditures'!AA43</f>
        <v>20439680</v>
      </c>
      <c r="AB43" s="23">
        <f>'C.1 Federal Expenditures'!AB43+'C.2 State Expenditures'!AB43</f>
        <v>150108</v>
      </c>
      <c r="AC43" s="23">
        <f>'C.1 Federal Expenditures'!AC43+'C.2 State Expenditures'!AC43</f>
        <v>0</v>
      </c>
      <c r="AD43" s="23">
        <f>'C.1 Federal Expenditures'!AD43+'C.2 State Expenditures'!AD43</f>
        <v>21436501.989999998</v>
      </c>
      <c r="AE43" s="23">
        <f>'C.1 Federal Expenditures'!AE43+'C.2 State Expenditures'!AE43</f>
        <v>0</v>
      </c>
      <c r="AF43" s="23">
        <f>'C.1 Federal Expenditures'!AF43+'C.2 State Expenditures'!AF43</f>
        <v>0</v>
      </c>
      <c r="AG43" s="23">
        <f>'C.1 Federal Expenditures'!AG43+'C.2 State Expenditures'!AG43</f>
        <v>0</v>
      </c>
      <c r="AH43" s="23">
        <f>'C.1 Federal Expenditures'!AH43+'C.2 State Expenditures'!AH43</f>
        <v>21206838</v>
      </c>
      <c r="AI43" s="23">
        <f>'C.1 Federal Expenditures'!AI43+'C.2 State Expenditures'!AI43</f>
        <v>0</v>
      </c>
      <c r="AJ43" s="23">
        <f>'C.1 Federal Expenditures'!AJ43+'C.2 State Expenditures'!AJ43</f>
        <v>0</v>
      </c>
      <c r="AK43" s="23">
        <f>'C.1 Federal Expenditures'!AK43+'C.2 State Expenditures'!AK43</f>
        <v>21206838</v>
      </c>
      <c r="AL43" s="23">
        <f>'C.1 Federal Expenditures'!AL43+'C.2 State Expenditures'!AL43</f>
        <v>0</v>
      </c>
      <c r="AM43" s="23">
        <f>'C.1 Federal Expenditures'!AM43+'C.2 State Expenditures'!AM43</f>
        <v>11175731.890000001</v>
      </c>
      <c r="AN43" s="23">
        <f>'C.1 Federal Expenditures'!AN43+'C.2 State Expenditures'!AN43</f>
        <v>7190456.4399999995</v>
      </c>
      <c r="AO43" s="23">
        <f>'C.1 Federal Expenditures'!AO43+'C.2 State Expenditures'!AO43</f>
        <v>2851743.65</v>
      </c>
      <c r="AP43" s="23">
        <f>'C.1 Federal Expenditures'!AP43+'C.2 State Expenditures'!AP43</f>
        <v>1133531.81</v>
      </c>
      <c r="AQ43" s="23">
        <f>'C.1 Federal Expenditures'!AQ43+'C.2 State Expenditures'!AQ43</f>
        <v>0</v>
      </c>
      <c r="AR43" s="23">
        <f>'C.1 Federal Expenditures'!AR43+'C.2 State Expenditures'!AR43</f>
        <v>154875671.16999999</v>
      </c>
      <c r="AS43" s="23">
        <f>'C.1 Federal Expenditures'!AS43</f>
        <v>0</v>
      </c>
      <c r="AT43" s="23">
        <f>'C.1 Federal Expenditures'!AT43</f>
        <v>116796927.53</v>
      </c>
      <c r="AU43" s="8"/>
      <c r="AV43" s="8"/>
      <c r="AW43" s="8"/>
      <c r="AX43" s="8"/>
      <c r="AY43" s="8"/>
      <c r="AZ43" s="8"/>
      <c r="BA43" s="8"/>
      <c r="BB43" s="8"/>
      <c r="BC43" s="8"/>
      <c r="BD43" s="8"/>
      <c r="BE43" s="8"/>
    </row>
    <row r="44" spans="1:57" x14ac:dyDescent="0.25">
      <c r="A44" s="33" t="s">
        <v>155</v>
      </c>
      <c r="B44" s="23">
        <f>'C.1 Federal Expenditures'!B44+'C.2 State Expenditures'!B44</f>
        <v>110995256.48</v>
      </c>
      <c r="C44" s="23">
        <f>'C.1 Federal Expenditures'!C44+'C.2 State Expenditures'!C44</f>
        <v>0</v>
      </c>
      <c r="D44" s="23">
        <f>'C.1 Federal Expenditures'!D44+'C.2 State Expenditures'!D44</f>
        <v>0</v>
      </c>
      <c r="E44" s="23">
        <f>'C.1 Federal Expenditures'!E44+'C.2 State Expenditures'!E44</f>
        <v>99637930</v>
      </c>
      <c r="F44" s="23">
        <f>'C.1 Federal Expenditures'!F44+'C.2 State Expenditures'!F44</f>
        <v>31557893</v>
      </c>
      <c r="G44" s="23">
        <f>'C.1 Federal Expenditures'!G44+'C.2 State Expenditures'!G44</f>
        <v>35995913.480000004</v>
      </c>
      <c r="H44" s="23">
        <f>'C.1 Federal Expenditures'!H44+'C.2 State Expenditures'!H44</f>
        <v>23327185.48</v>
      </c>
      <c r="I44" s="23">
        <f>'C.1 Federal Expenditures'!I44+'C.2 State Expenditures'!I44</f>
        <v>12668728</v>
      </c>
      <c r="J44" s="23">
        <f>'C.1 Federal Expenditures'!J44+'C.2 State Expenditures'!J44</f>
        <v>0</v>
      </c>
      <c r="K44" s="23">
        <f>'C.1 Federal Expenditures'!K44+'C.2 State Expenditures'!K44</f>
        <v>0</v>
      </c>
      <c r="L44" s="23">
        <f>'C.1 Federal Expenditures'!L44+'C.2 State Expenditures'!L44</f>
        <v>0</v>
      </c>
      <c r="M44" s="23">
        <f>'C.1 Federal Expenditures'!M44+'C.2 State Expenditures'!M44</f>
        <v>0</v>
      </c>
      <c r="N44" s="23">
        <f>'C.1 Federal Expenditures'!N44+'C.2 State Expenditures'!N44</f>
        <v>0</v>
      </c>
      <c r="O44" s="23">
        <f>'C.1 Federal Expenditures'!O44+'C.2 State Expenditures'!O44</f>
        <v>0</v>
      </c>
      <c r="P44" s="23">
        <f>'C.1 Federal Expenditures'!P44+'C.2 State Expenditures'!P44</f>
        <v>0</v>
      </c>
      <c r="Q44" s="23">
        <f>'C.1 Federal Expenditures'!Q44+'C.2 State Expenditures'!Q44</f>
        <v>0</v>
      </c>
      <c r="R44" s="23">
        <f>'C.1 Federal Expenditures'!R44+'C.2 State Expenditures'!R44</f>
        <v>20453454</v>
      </c>
      <c r="S44" s="23">
        <f>'C.1 Federal Expenditures'!S44+'C.2 State Expenditures'!S44</f>
        <v>0</v>
      </c>
      <c r="T44" s="23">
        <f>'C.1 Federal Expenditures'!T44+'C.2 State Expenditures'!T44</f>
        <v>20453454</v>
      </c>
      <c r="U44" s="23">
        <f>'C.1 Federal Expenditures'!U44+'C.2 State Expenditures'!U44</f>
        <v>0</v>
      </c>
      <c r="V44" s="23">
        <f>'C.1 Federal Expenditures'!V44+'C.2 State Expenditures'!V44</f>
        <v>1266556</v>
      </c>
      <c r="W44" s="23">
        <f>'C.1 Federal Expenditures'!W44+'C.2 State Expenditures'!W44</f>
        <v>19154792</v>
      </c>
      <c r="X44" s="23">
        <f>'C.1 Federal Expenditures'!X44+'C.2 State Expenditures'!X44</f>
        <v>4085269</v>
      </c>
      <c r="Y44" s="23">
        <f>'C.1 Federal Expenditures'!Y44+'C.2 State Expenditures'!Y44</f>
        <v>15069523</v>
      </c>
      <c r="Z44" s="23">
        <f>'C.1 Federal Expenditures'!Z44+'C.2 State Expenditures'!Z44</f>
        <v>0</v>
      </c>
      <c r="AA44" s="23">
        <f>'C.1 Federal Expenditures'!AA44+'C.2 State Expenditures'!AA44</f>
        <v>0</v>
      </c>
      <c r="AB44" s="23">
        <f>'C.1 Federal Expenditures'!AB44+'C.2 State Expenditures'!AB44</f>
        <v>0</v>
      </c>
      <c r="AC44" s="23">
        <f>'C.1 Federal Expenditures'!AC44+'C.2 State Expenditures'!AC44</f>
        <v>0</v>
      </c>
      <c r="AD44" s="23">
        <f>'C.1 Federal Expenditures'!AD44+'C.2 State Expenditures'!AD44</f>
        <v>1024514</v>
      </c>
      <c r="AE44" s="23">
        <f>'C.1 Federal Expenditures'!AE44+'C.2 State Expenditures'!AE44</f>
        <v>0</v>
      </c>
      <c r="AF44" s="23">
        <f>'C.1 Federal Expenditures'!AF44+'C.2 State Expenditures'!AF44</f>
        <v>0</v>
      </c>
      <c r="AG44" s="23">
        <f>'C.1 Federal Expenditures'!AG44+'C.2 State Expenditures'!AG44</f>
        <v>2875269</v>
      </c>
      <c r="AH44" s="23">
        <f>'C.1 Federal Expenditures'!AH44+'C.2 State Expenditures'!AH44</f>
        <v>12628082</v>
      </c>
      <c r="AI44" s="23">
        <f>'C.1 Federal Expenditures'!AI44+'C.2 State Expenditures'!AI44</f>
        <v>2554505</v>
      </c>
      <c r="AJ44" s="23">
        <f>'C.1 Federal Expenditures'!AJ44+'C.2 State Expenditures'!AJ44</f>
        <v>1245366</v>
      </c>
      <c r="AK44" s="23">
        <f>'C.1 Federal Expenditures'!AK44+'C.2 State Expenditures'!AK44</f>
        <v>8828211</v>
      </c>
      <c r="AL44" s="23">
        <f>'C.1 Federal Expenditures'!AL44+'C.2 State Expenditures'!AL44</f>
        <v>0</v>
      </c>
      <c r="AM44" s="23">
        <f>'C.1 Federal Expenditures'!AM44+'C.2 State Expenditures'!AM44</f>
        <v>77591961</v>
      </c>
      <c r="AN44" s="23">
        <f>'C.1 Federal Expenditures'!AN44+'C.2 State Expenditures'!AN44</f>
        <v>18315436</v>
      </c>
      <c r="AO44" s="23">
        <f>'C.1 Federal Expenditures'!AO44+'C.2 State Expenditures'!AO44</f>
        <v>56581328</v>
      </c>
      <c r="AP44" s="23">
        <f>'C.1 Federal Expenditures'!AP44+'C.2 State Expenditures'!AP44</f>
        <v>2695197</v>
      </c>
      <c r="AQ44" s="23">
        <f>'C.1 Federal Expenditures'!AQ44+'C.2 State Expenditures'!AQ44</f>
        <v>0</v>
      </c>
      <c r="AR44" s="23">
        <f>'C.1 Federal Expenditures'!AR44+'C.2 State Expenditures'!AR44</f>
        <v>170990541.48000002</v>
      </c>
      <c r="AS44" s="23">
        <f>'C.1 Federal Expenditures'!AS44</f>
        <v>0</v>
      </c>
      <c r="AT44" s="23">
        <f>'C.1 Federal Expenditures'!AT44</f>
        <v>25824999</v>
      </c>
      <c r="AU44" s="8"/>
      <c r="AV44" s="8"/>
      <c r="AW44" s="8"/>
      <c r="AX44" s="8"/>
      <c r="AY44" s="8"/>
      <c r="AZ44" s="8"/>
      <c r="BA44" s="8"/>
      <c r="BB44" s="8"/>
      <c r="BC44" s="8"/>
      <c r="BD44" s="8"/>
      <c r="BE44" s="8"/>
    </row>
    <row r="45" spans="1:57" x14ac:dyDescent="0.25">
      <c r="A45" s="33" t="s">
        <v>156</v>
      </c>
      <c r="B45" s="23">
        <f>'C.1 Federal Expenditures'!B45+'C.2 State Expenditures'!B45</f>
        <v>21207402</v>
      </c>
      <c r="C45" s="23">
        <f>'C.1 Federal Expenditures'!C45+'C.2 State Expenditures'!C45</f>
        <v>0</v>
      </c>
      <c r="D45" s="23">
        <f>'C.1 Federal Expenditures'!D45+'C.2 State Expenditures'!D45</f>
        <v>2120740</v>
      </c>
      <c r="E45" s="23">
        <f>'C.1 Federal Expenditures'!E45+'C.2 State Expenditures'!E45</f>
        <v>19086662</v>
      </c>
      <c r="F45" s="23">
        <f>'C.1 Federal Expenditures'!F45+'C.2 State Expenditures'!F45</f>
        <v>23036130.670000002</v>
      </c>
      <c r="G45" s="23">
        <f>'C.1 Federal Expenditures'!G45+'C.2 State Expenditures'!G45</f>
        <v>12891592.559999999</v>
      </c>
      <c r="H45" s="23">
        <f>'C.1 Federal Expenditures'!H45+'C.2 State Expenditures'!H45</f>
        <v>12891592.559999999</v>
      </c>
      <c r="I45" s="23">
        <f>'C.1 Federal Expenditures'!I45+'C.2 State Expenditures'!I45</f>
        <v>0</v>
      </c>
      <c r="J45" s="23">
        <f>'C.1 Federal Expenditures'!J45+'C.2 State Expenditures'!J45</f>
        <v>7009029.0899999999</v>
      </c>
      <c r="K45" s="23">
        <f>'C.1 Federal Expenditures'!K45+'C.2 State Expenditures'!K45</f>
        <v>1062874.1400000001</v>
      </c>
      <c r="L45" s="23">
        <f>'C.1 Federal Expenditures'!L45+'C.2 State Expenditures'!L45</f>
        <v>0</v>
      </c>
      <c r="M45" s="23">
        <f>'C.1 Federal Expenditures'!M45+'C.2 State Expenditures'!M45</f>
        <v>5946154.9500000002</v>
      </c>
      <c r="N45" s="23">
        <f>'C.1 Federal Expenditures'!N45+'C.2 State Expenditures'!N45</f>
        <v>0</v>
      </c>
      <c r="O45" s="23">
        <f>'C.1 Federal Expenditures'!O45+'C.2 State Expenditures'!O45</f>
        <v>0</v>
      </c>
      <c r="P45" s="23">
        <f>'C.1 Federal Expenditures'!P45+'C.2 State Expenditures'!P45</f>
        <v>0</v>
      </c>
      <c r="Q45" s="23">
        <f>'C.1 Federal Expenditures'!Q45+'C.2 State Expenditures'!Q45</f>
        <v>0</v>
      </c>
      <c r="R45" s="23">
        <f>'C.1 Federal Expenditures'!R45+'C.2 State Expenditures'!R45</f>
        <v>3524453.6</v>
      </c>
      <c r="S45" s="23">
        <f>'C.1 Federal Expenditures'!S45+'C.2 State Expenditures'!S45</f>
        <v>0</v>
      </c>
      <c r="T45" s="23">
        <f>'C.1 Federal Expenditures'!T45+'C.2 State Expenditures'!T45</f>
        <v>0</v>
      </c>
      <c r="U45" s="23">
        <f>'C.1 Federal Expenditures'!U45+'C.2 State Expenditures'!U45</f>
        <v>3524453.6</v>
      </c>
      <c r="V45" s="23">
        <f>'C.1 Federal Expenditures'!V45+'C.2 State Expenditures'!V45</f>
        <v>190103.58</v>
      </c>
      <c r="W45" s="23">
        <f>'C.1 Federal Expenditures'!W45+'C.2 State Expenditures'!W45</f>
        <v>802914</v>
      </c>
      <c r="X45" s="23">
        <f>'C.1 Federal Expenditures'!X45+'C.2 State Expenditures'!X45</f>
        <v>802914</v>
      </c>
      <c r="Y45" s="23">
        <f>'C.1 Federal Expenditures'!Y45+'C.2 State Expenditures'!Y45</f>
        <v>0</v>
      </c>
      <c r="Z45" s="23">
        <f>'C.1 Federal Expenditures'!Z45+'C.2 State Expenditures'!Z45</f>
        <v>0</v>
      </c>
      <c r="AA45" s="23">
        <f>'C.1 Federal Expenditures'!AA45+'C.2 State Expenditures'!AA45</f>
        <v>0</v>
      </c>
      <c r="AB45" s="23">
        <f>'C.1 Federal Expenditures'!AB45+'C.2 State Expenditures'!AB45</f>
        <v>0</v>
      </c>
      <c r="AC45" s="23">
        <f>'C.1 Federal Expenditures'!AC45+'C.2 State Expenditures'!AC45</f>
        <v>0</v>
      </c>
      <c r="AD45" s="23">
        <f>'C.1 Federal Expenditures'!AD45+'C.2 State Expenditures'!AD45</f>
        <v>157145</v>
      </c>
      <c r="AE45" s="23">
        <f>'C.1 Federal Expenditures'!AE45+'C.2 State Expenditures'!AE45</f>
        <v>0</v>
      </c>
      <c r="AF45" s="23">
        <f>'C.1 Federal Expenditures'!AF45+'C.2 State Expenditures'!AF45</f>
        <v>0</v>
      </c>
      <c r="AG45" s="23">
        <f>'C.1 Federal Expenditures'!AG45+'C.2 State Expenditures'!AG45</f>
        <v>0</v>
      </c>
      <c r="AH45" s="23">
        <f>'C.1 Federal Expenditures'!AH45+'C.2 State Expenditures'!AH45</f>
        <v>0</v>
      </c>
      <c r="AI45" s="23">
        <f>'C.1 Federal Expenditures'!AI45+'C.2 State Expenditures'!AI45</f>
        <v>0</v>
      </c>
      <c r="AJ45" s="23">
        <f>'C.1 Federal Expenditures'!AJ45+'C.2 State Expenditures'!AJ45</f>
        <v>0</v>
      </c>
      <c r="AK45" s="23">
        <f>'C.1 Federal Expenditures'!AK45+'C.2 State Expenditures'!AK45</f>
        <v>0</v>
      </c>
      <c r="AL45" s="23">
        <f>'C.1 Federal Expenditures'!AL45+'C.2 State Expenditures'!AL45</f>
        <v>0</v>
      </c>
      <c r="AM45" s="23">
        <f>'C.1 Federal Expenditures'!AM45+'C.2 State Expenditures'!AM45</f>
        <v>3283503.34</v>
      </c>
      <c r="AN45" s="23">
        <f>'C.1 Federal Expenditures'!AN45+'C.2 State Expenditures'!AN45</f>
        <v>3188006.67</v>
      </c>
      <c r="AO45" s="23">
        <f>'C.1 Federal Expenditures'!AO45+'C.2 State Expenditures'!AO45</f>
        <v>0</v>
      </c>
      <c r="AP45" s="23">
        <f>'C.1 Federal Expenditures'!AP45+'C.2 State Expenditures'!AP45</f>
        <v>95496.67</v>
      </c>
      <c r="AQ45" s="23">
        <f>'C.1 Federal Expenditures'!AQ45+'C.2 State Expenditures'!AQ45</f>
        <v>0</v>
      </c>
      <c r="AR45" s="23">
        <f>'C.1 Federal Expenditures'!AR45+'C.2 State Expenditures'!AR45</f>
        <v>27858741.169999998</v>
      </c>
      <c r="AS45" s="23">
        <f>'C.1 Federal Expenditures'!AS45</f>
        <v>0</v>
      </c>
      <c r="AT45" s="23">
        <f>'C.1 Federal Expenditures'!AT45</f>
        <v>22804051.5</v>
      </c>
      <c r="AU45" s="8"/>
      <c r="AV45" s="8"/>
      <c r="AW45" s="8"/>
      <c r="AX45" s="8"/>
      <c r="AY45" s="8"/>
      <c r="AZ45" s="8"/>
      <c r="BA45" s="8"/>
      <c r="BB45" s="8"/>
      <c r="BC45" s="8"/>
      <c r="BD45" s="8"/>
      <c r="BE45" s="8"/>
    </row>
    <row r="46" spans="1:57" x14ac:dyDescent="0.25">
      <c r="A46" s="33" t="s">
        <v>157</v>
      </c>
      <c r="B46" s="23">
        <f>'C.1 Federal Expenditures'!B46+'C.2 State Expenditures'!B46</f>
        <v>190885719.66999999</v>
      </c>
      <c r="C46" s="23">
        <f>'C.1 Federal Expenditures'!C46+'C.2 State Expenditures'!C46</f>
        <v>0</v>
      </c>
      <c r="D46" s="23">
        <f>'C.1 Federal Expenditures'!D46+'C.2 State Expenditures'!D46</f>
        <v>0</v>
      </c>
      <c r="E46" s="23">
        <f>'C.1 Federal Expenditures'!E46+'C.2 State Expenditures'!E46</f>
        <v>190885719.66999999</v>
      </c>
      <c r="F46" s="23">
        <f>'C.1 Federal Expenditures'!F46+'C.2 State Expenditures'!F46</f>
        <v>752339570.70000005</v>
      </c>
      <c r="G46" s="23">
        <f>'C.1 Federal Expenditures'!G46+'C.2 State Expenditures'!G46</f>
        <v>62576685.350000001</v>
      </c>
      <c r="H46" s="23">
        <f>'C.1 Federal Expenditures'!H46+'C.2 State Expenditures'!H46</f>
        <v>62576685.350000001</v>
      </c>
      <c r="I46" s="23">
        <f>'C.1 Federal Expenditures'!I46+'C.2 State Expenditures'!I46</f>
        <v>0</v>
      </c>
      <c r="J46" s="23">
        <f>'C.1 Federal Expenditures'!J46+'C.2 State Expenditures'!J46</f>
        <v>0</v>
      </c>
      <c r="K46" s="23">
        <f>'C.1 Federal Expenditures'!K46+'C.2 State Expenditures'!K46</f>
        <v>0</v>
      </c>
      <c r="L46" s="23">
        <f>'C.1 Federal Expenditures'!L46+'C.2 State Expenditures'!L46</f>
        <v>0</v>
      </c>
      <c r="M46" s="23">
        <f>'C.1 Federal Expenditures'!M46+'C.2 State Expenditures'!M46</f>
        <v>0</v>
      </c>
      <c r="N46" s="23">
        <f>'C.1 Federal Expenditures'!N46+'C.2 State Expenditures'!N46</f>
        <v>0</v>
      </c>
      <c r="O46" s="23">
        <f>'C.1 Federal Expenditures'!O46+'C.2 State Expenditures'!O46</f>
        <v>0</v>
      </c>
      <c r="P46" s="23">
        <f>'C.1 Federal Expenditures'!P46+'C.2 State Expenditures'!P46</f>
        <v>0</v>
      </c>
      <c r="Q46" s="23">
        <f>'C.1 Federal Expenditures'!Q46+'C.2 State Expenditures'!Q46</f>
        <v>0</v>
      </c>
      <c r="R46" s="23">
        <f>'C.1 Federal Expenditures'!R46+'C.2 State Expenditures'!R46</f>
        <v>96983550.849999994</v>
      </c>
      <c r="S46" s="23">
        <f>'C.1 Federal Expenditures'!S46+'C.2 State Expenditures'!S46</f>
        <v>0</v>
      </c>
      <c r="T46" s="23">
        <f>'C.1 Federal Expenditures'!T46+'C.2 State Expenditures'!T46</f>
        <v>6549511.0800000001</v>
      </c>
      <c r="U46" s="23">
        <f>'C.1 Federal Expenditures'!U46+'C.2 State Expenditures'!U46</f>
        <v>90434039.769999996</v>
      </c>
      <c r="V46" s="23">
        <f>'C.1 Federal Expenditures'!V46+'C.2 State Expenditures'!V46</f>
        <v>5340097.5200000005</v>
      </c>
      <c r="W46" s="23">
        <f>'C.1 Federal Expenditures'!W46+'C.2 State Expenditures'!W46</f>
        <v>87042279.480000004</v>
      </c>
      <c r="X46" s="23">
        <f>'C.1 Federal Expenditures'!X46+'C.2 State Expenditures'!X46</f>
        <v>1438.65</v>
      </c>
      <c r="Y46" s="23">
        <f>'C.1 Federal Expenditures'!Y46+'C.2 State Expenditures'!Y46</f>
        <v>87040840.829999998</v>
      </c>
      <c r="Z46" s="23">
        <f>'C.1 Federal Expenditures'!Z46+'C.2 State Expenditures'!Z46</f>
        <v>0</v>
      </c>
      <c r="AA46" s="23">
        <f>'C.1 Federal Expenditures'!AA46+'C.2 State Expenditures'!AA46</f>
        <v>0</v>
      </c>
      <c r="AB46" s="23">
        <f>'C.1 Federal Expenditures'!AB46+'C.2 State Expenditures'!AB46</f>
        <v>0</v>
      </c>
      <c r="AC46" s="23">
        <f>'C.1 Federal Expenditures'!AC46+'C.2 State Expenditures'!AC46</f>
        <v>0</v>
      </c>
      <c r="AD46" s="23">
        <f>'C.1 Federal Expenditures'!AD46+'C.2 State Expenditures'!AD46</f>
        <v>3401100.83</v>
      </c>
      <c r="AE46" s="23">
        <f>'C.1 Federal Expenditures'!AE46+'C.2 State Expenditures'!AE46</f>
        <v>546355.56000000006</v>
      </c>
      <c r="AF46" s="23">
        <f>'C.1 Federal Expenditures'!AF46+'C.2 State Expenditures'!AF46</f>
        <v>0</v>
      </c>
      <c r="AG46" s="23">
        <f>'C.1 Federal Expenditures'!AG46+'C.2 State Expenditures'!AG46</f>
        <v>0</v>
      </c>
      <c r="AH46" s="23">
        <f>'C.1 Federal Expenditures'!AH46+'C.2 State Expenditures'!AH46</f>
        <v>15444489.629999999</v>
      </c>
      <c r="AI46" s="23">
        <f>'C.1 Federal Expenditures'!AI46+'C.2 State Expenditures'!AI46</f>
        <v>15444489.629999999</v>
      </c>
      <c r="AJ46" s="23">
        <f>'C.1 Federal Expenditures'!AJ46+'C.2 State Expenditures'!AJ46</f>
        <v>0</v>
      </c>
      <c r="AK46" s="23">
        <f>'C.1 Federal Expenditures'!AK46+'C.2 State Expenditures'!AK46</f>
        <v>0</v>
      </c>
      <c r="AL46" s="23">
        <f>'C.1 Federal Expenditures'!AL46+'C.2 State Expenditures'!AL46</f>
        <v>32082519.530000001</v>
      </c>
      <c r="AM46" s="23">
        <f>'C.1 Federal Expenditures'!AM46+'C.2 State Expenditures'!AM46</f>
        <v>61626731.469999999</v>
      </c>
      <c r="AN46" s="23">
        <f>'C.1 Federal Expenditures'!AN46+'C.2 State Expenditures'!AN46</f>
        <v>38118044.57</v>
      </c>
      <c r="AO46" s="23">
        <f>'C.1 Federal Expenditures'!AO46+'C.2 State Expenditures'!AO46</f>
        <v>0</v>
      </c>
      <c r="AP46" s="23">
        <f>'C.1 Federal Expenditures'!AP46+'C.2 State Expenditures'!AP46</f>
        <v>23508686.900000002</v>
      </c>
      <c r="AQ46" s="23">
        <f>'C.1 Federal Expenditures'!AQ46+'C.2 State Expenditures'!AQ46</f>
        <v>0</v>
      </c>
      <c r="AR46" s="23">
        <f>'C.1 Federal Expenditures'!AR46+'C.2 State Expenditures'!AR46</f>
        <v>365043810.22000003</v>
      </c>
      <c r="AS46" s="23">
        <f>'C.1 Federal Expenditures'!AS46</f>
        <v>0</v>
      </c>
      <c r="AT46" s="23">
        <f>'C.1 Federal Expenditures'!AT46</f>
        <v>675393455.94999993</v>
      </c>
      <c r="AU46" s="8"/>
      <c r="AV46" s="8"/>
      <c r="AW46" s="8"/>
      <c r="AX46" s="8"/>
      <c r="AY46" s="8"/>
      <c r="AZ46" s="8"/>
      <c r="BA46" s="8"/>
      <c r="BB46" s="8"/>
      <c r="BC46" s="8"/>
      <c r="BD46" s="8"/>
      <c r="BE46" s="8"/>
    </row>
    <row r="47" spans="1:57" x14ac:dyDescent="0.25">
      <c r="A47" s="33" t="s">
        <v>158</v>
      </c>
      <c r="B47" s="23">
        <f>'C.1 Federal Expenditures'!B47+'C.2 State Expenditures'!B47</f>
        <v>539895657.49000001</v>
      </c>
      <c r="C47" s="23">
        <f>'C.1 Federal Expenditures'!C47+'C.2 State Expenditures'!C47</f>
        <v>0</v>
      </c>
      <c r="D47" s="23">
        <f>'C.1 Federal Expenditures'!D47+'C.2 State Expenditures'!D47</f>
        <v>43068228.43</v>
      </c>
      <c r="E47" s="23">
        <f>'C.1 Federal Expenditures'!E47+'C.2 State Expenditures'!E47</f>
        <v>441583876.56999999</v>
      </c>
      <c r="F47" s="23">
        <f>'C.1 Federal Expenditures'!F47+'C.2 State Expenditures'!F47</f>
        <v>381660859.44</v>
      </c>
      <c r="G47" s="23">
        <f>'C.1 Federal Expenditures'!G47+'C.2 State Expenditures'!G47</f>
        <v>19825675.129999999</v>
      </c>
      <c r="H47" s="23">
        <f>'C.1 Federal Expenditures'!H47+'C.2 State Expenditures'!H47</f>
        <v>19825675.129999999</v>
      </c>
      <c r="I47" s="23">
        <f>'C.1 Federal Expenditures'!I47+'C.2 State Expenditures'!I47</f>
        <v>0</v>
      </c>
      <c r="J47" s="23">
        <f>'C.1 Federal Expenditures'!J47+'C.2 State Expenditures'!J47</f>
        <v>75487232.930000007</v>
      </c>
      <c r="K47" s="23">
        <f>'C.1 Federal Expenditures'!K47+'C.2 State Expenditures'!K47</f>
        <v>75487232.930000007</v>
      </c>
      <c r="L47" s="23">
        <f>'C.1 Federal Expenditures'!L47+'C.2 State Expenditures'!L47</f>
        <v>0</v>
      </c>
      <c r="M47" s="23">
        <f>'C.1 Federal Expenditures'!M47+'C.2 State Expenditures'!M47</f>
        <v>0</v>
      </c>
      <c r="N47" s="23">
        <f>'C.1 Federal Expenditures'!N47+'C.2 State Expenditures'!N47</f>
        <v>300483478.76999998</v>
      </c>
      <c r="O47" s="23">
        <f>'C.1 Federal Expenditures'!O47+'C.2 State Expenditures'!O47</f>
        <v>300483478.76999998</v>
      </c>
      <c r="P47" s="23">
        <f>'C.1 Federal Expenditures'!P47+'C.2 State Expenditures'!P47</f>
        <v>0</v>
      </c>
      <c r="Q47" s="23">
        <f>'C.1 Federal Expenditures'!Q47+'C.2 State Expenditures'!Q47</f>
        <v>0</v>
      </c>
      <c r="R47" s="23">
        <f>'C.1 Federal Expenditures'!R47+'C.2 State Expenditures'!R47</f>
        <v>79053483.639999986</v>
      </c>
      <c r="S47" s="23">
        <f>'C.1 Federal Expenditures'!S47+'C.2 State Expenditures'!S47</f>
        <v>2259544.69</v>
      </c>
      <c r="T47" s="23">
        <f>'C.1 Federal Expenditures'!T47+'C.2 State Expenditures'!T47</f>
        <v>6616299.4300000006</v>
      </c>
      <c r="U47" s="23">
        <f>'C.1 Federal Expenditures'!U47+'C.2 State Expenditures'!U47</f>
        <v>70177639.520000011</v>
      </c>
      <c r="V47" s="23">
        <f>'C.1 Federal Expenditures'!V47+'C.2 State Expenditures'!V47</f>
        <v>1487955.4</v>
      </c>
      <c r="W47" s="23">
        <f>'C.1 Federal Expenditures'!W47+'C.2 State Expenditures'!W47</f>
        <v>359391865</v>
      </c>
      <c r="X47" s="23">
        <f>'C.1 Federal Expenditures'!X47+'C.2 State Expenditures'!X47</f>
        <v>0</v>
      </c>
      <c r="Y47" s="23">
        <f>'C.1 Federal Expenditures'!Y47+'C.2 State Expenditures'!Y47</f>
        <v>359391865</v>
      </c>
      <c r="Z47" s="23">
        <f>'C.1 Federal Expenditures'!Z47+'C.2 State Expenditures'!Z47</f>
        <v>0</v>
      </c>
      <c r="AA47" s="23">
        <f>'C.1 Federal Expenditures'!AA47+'C.2 State Expenditures'!AA47</f>
        <v>0</v>
      </c>
      <c r="AB47" s="23">
        <f>'C.1 Federal Expenditures'!AB47+'C.2 State Expenditures'!AB47</f>
        <v>0</v>
      </c>
      <c r="AC47" s="23">
        <f>'C.1 Federal Expenditures'!AC47+'C.2 State Expenditures'!AC47</f>
        <v>6017723.6499999994</v>
      </c>
      <c r="AD47" s="23">
        <f>'C.1 Federal Expenditures'!AD47+'C.2 State Expenditures'!AD47</f>
        <v>7608140.2800000003</v>
      </c>
      <c r="AE47" s="23">
        <f>'C.1 Federal Expenditures'!AE47+'C.2 State Expenditures'!AE47</f>
        <v>10479390.82</v>
      </c>
      <c r="AF47" s="23">
        <f>'C.1 Federal Expenditures'!AF47+'C.2 State Expenditures'!AF47</f>
        <v>0</v>
      </c>
      <c r="AG47" s="23">
        <f>'C.1 Federal Expenditures'!AG47+'C.2 State Expenditures'!AG47</f>
        <v>0</v>
      </c>
      <c r="AH47" s="23">
        <f>'C.1 Federal Expenditures'!AH47+'C.2 State Expenditures'!AH47</f>
        <v>0</v>
      </c>
      <c r="AI47" s="23">
        <f>'C.1 Federal Expenditures'!AI47+'C.2 State Expenditures'!AI47</f>
        <v>0</v>
      </c>
      <c r="AJ47" s="23">
        <f>'C.1 Federal Expenditures'!AJ47+'C.2 State Expenditures'!AJ47</f>
        <v>0</v>
      </c>
      <c r="AK47" s="23">
        <f>'C.1 Federal Expenditures'!AK47+'C.2 State Expenditures'!AK47</f>
        <v>0</v>
      </c>
      <c r="AL47" s="23">
        <f>'C.1 Federal Expenditures'!AL47+'C.2 State Expenditures'!AL47</f>
        <v>13204056.6</v>
      </c>
      <c r="AM47" s="23">
        <f>'C.1 Federal Expenditures'!AM47+'C.2 State Expenditures'!AM47</f>
        <v>70691598.189999998</v>
      </c>
      <c r="AN47" s="23">
        <f>'C.1 Federal Expenditures'!AN47+'C.2 State Expenditures'!AN47</f>
        <v>56970828.149999999</v>
      </c>
      <c r="AO47" s="23">
        <f>'C.1 Federal Expenditures'!AO47+'C.2 State Expenditures'!AO47</f>
        <v>0</v>
      </c>
      <c r="AP47" s="23">
        <f>'C.1 Federal Expenditures'!AP47+'C.2 State Expenditures'!AP47</f>
        <v>13720770.040000001</v>
      </c>
      <c r="AQ47" s="23">
        <f>'C.1 Federal Expenditures'!AQ47+'C.2 State Expenditures'!AQ47</f>
        <v>0</v>
      </c>
      <c r="AR47" s="23">
        <f>'C.1 Federal Expenditures'!AR47+'C.2 State Expenditures'!AR47</f>
        <v>943730600.40999997</v>
      </c>
      <c r="AS47" s="23">
        <f>'C.1 Federal Expenditures'!AS47</f>
        <v>0</v>
      </c>
      <c r="AT47" s="23">
        <f>'C.1 Federal Expenditures'!AT47</f>
        <v>322804580.21999997</v>
      </c>
      <c r="AU47" s="8"/>
      <c r="AV47" s="8"/>
      <c r="AW47" s="8"/>
      <c r="AX47" s="8"/>
      <c r="AY47" s="8"/>
      <c r="AZ47" s="8"/>
      <c r="BA47" s="8"/>
      <c r="BB47" s="8"/>
      <c r="BC47" s="8"/>
      <c r="BD47" s="8"/>
      <c r="BE47" s="8"/>
    </row>
    <row r="48" spans="1:57" x14ac:dyDescent="0.25">
      <c r="A48" s="33" t="s">
        <v>159</v>
      </c>
      <c r="B48" s="23">
        <f>'C.1 Federal Expenditures'!B48+'C.2 State Expenditures'!B48</f>
        <v>75355939</v>
      </c>
      <c r="C48" s="23">
        <f>'C.1 Federal Expenditures'!C48+'C.2 State Expenditures'!C48</f>
        <v>15071188</v>
      </c>
      <c r="D48" s="23">
        <f>'C.1 Federal Expenditures'!D48+'C.2 State Expenditures'!D48</f>
        <v>7535000</v>
      </c>
      <c r="E48" s="23">
        <f>'C.1 Federal Expenditures'!E48+'C.2 State Expenditures'!E48</f>
        <v>52749751</v>
      </c>
      <c r="F48" s="23">
        <f>'C.1 Federal Expenditures'!F48+'C.2 State Expenditures'!F48</f>
        <v>96608549</v>
      </c>
      <c r="G48" s="23">
        <f>'C.1 Federal Expenditures'!G48+'C.2 State Expenditures'!G48</f>
        <v>20275644</v>
      </c>
      <c r="H48" s="23">
        <f>'C.1 Federal Expenditures'!H48+'C.2 State Expenditures'!H48</f>
        <v>20275644</v>
      </c>
      <c r="I48" s="23">
        <f>'C.1 Federal Expenditures'!I48+'C.2 State Expenditures'!I48</f>
        <v>0</v>
      </c>
      <c r="J48" s="23">
        <f>'C.1 Federal Expenditures'!J48+'C.2 State Expenditures'!J48</f>
        <v>0</v>
      </c>
      <c r="K48" s="23">
        <f>'C.1 Federal Expenditures'!K48+'C.2 State Expenditures'!K48</f>
        <v>0</v>
      </c>
      <c r="L48" s="23">
        <f>'C.1 Federal Expenditures'!L48+'C.2 State Expenditures'!L48</f>
        <v>0</v>
      </c>
      <c r="M48" s="23">
        <f>'C.1 Federal Expenditures'!M48+'C.2 State Expenditures'!M48</f>
        <v>0</v>
      </c>
      <c r="N48" s="23">
        <f>'C.1 Federal Expenditures'!N48+'C.2 State Expenditures'!N48</f>
        <v>0</v>
      </c>
      <c r="O48" s="23">
        <f>'C.1 Federal Expenditures'!O48+'C.2 State Expenditures'!O48</f>
        <v>0</v>
      </c>
      <c r="P48" s="23">
        <f>'C.1 Federal Expenditures'!P48+'C.2 State Expenditures'!P48</f>
        <v>0</v>
      </c>
      <c r="Q48" s="23">
        <f>'C.1 Federal Expenditures'!Q48+'C.2 State Expenditures'!Q48</f>
        <v>0</v>
      </c>
      <c r="R48" s="23">
        <f>'C.1 Federal Expenditures'!R48+'C.2 State Expenditures'!R48</f>
        <v>17193252</v>
      </c>
      <c r="S48" s="23">
        <f>'C.1 Federal Expenditures'!S48+'C.2 State Expenditures'!S48</f>
        <v>18655</v>
      </c>
      <c r="T48" s="23">
        <f>'C.1 Federal Expenditures'!T48+'C.2 State Expenditures'!T48</f>
        <v>1750442</v>
      </c>
      <c r="U48" s="23">
        <f>'C.1 Federal Expenditures'!U48+'C.2 State Expenditures'!U48</f>
        <v>15424155</v>
      </c>
      <c r="V48" s="23">
        <f>'C.1 Federal Expenditures'!V48+'C.2 State Expenditures'!V48</f>
        <v>0</v>
      </c>
      <c r="W48" s="23">
        <f>'C.1 Federal Expenditures'!W48+'C.2 State Expenditures'!W48</f>
        <v>9245028</v>
      </c>
      <c r="X48" s="23">
        <f>'C.1 Federal Expenditures'!X48+'C.2 State Expenditures'!X48</f>
        <v>7251046</v>
      </c>
      <c r="Y48" s="23">
        <f>'C.1 Federal Expenditures'!Y48+'C.2 State Expenditures'!Y48</f>
        <v>1993982</v>
      </c>
      <c r="Z48" s="23">
        <f>'C.1 Federal Expenditures'!Z48+'C.2 State Expenditures'!Z48</f>
        <v>2597153</v>
      </c>
      <c r="AA48" s="23">
        <f>'C.1 Federal Expenditures'!AA48+'C.2 State Expenditures'!AA48</f>
        <v>0</v>
      </c>
      <c r="AB48" s="23">
        <f>'C.1 Federal Expenditures'!AB48+'C.2 State Expenditures'!AB48</f>
        <v>0</v>
      </c>
      <c r="AC48" s="23">
        <f>'C.1 Federal Expenditures'!AC48+'C.2 State Expenditures'!AC48</f>
        <v>5319022</v>
      </c>
      <c r="AD48" s="23">
        <f>'C.1 Federal Expenditures'!AD48+'C.2 State Expenditures'!AD48</f>
        <v>2884808</v>
      </c>
      <c r="AE48" s="23">
        <f>'C.1 Federal Expenditures'!AE48+'C.2 State Expenditures'!AE48</f>
        <v>6603282</v>
      </c>
      <c r="AF48" s="23">
        <f>'C.1 Federal Expenditures'!AF48+'C.2 State Expenditures'!AF48</f>
        <v>1579421</v>
      </c>
      <c r="AG48" s="23">
        <f>'C.1 Federal Expenditures'!AG48+'C.2 State Expenditures'!AG48</f>
        <v>566747</v>
      </c>
      <c r="AH48" s="23">
        <f>'C.1 Federal Expenditures'!AH48+'C.2 State Expenditures'!AH48</f>
        <v>0</v>
      </c>
      <c r="AI48" s="23">
        <f>'C.1 Federal Expenditures'!AI48+'C.2 State Expenditures'!AI48</f>
        <v>0</v>
      </c>
      <c r="AJ48" s="23">
        <f>'C.1 Federal Expenditures'!AJ48+'C.2 State Expenditures'!AJ48</f>
        <v>0</v>
      </c>
      <c r="AK48" s="23">
        <f>'C.1 Federal Expenditures'!AK48+'C.2 State Expenditures'!AK48</f>
        <v>0</v>
      </c>
      <c r="AL48" s="23">
        <f>'C.1 Federal Expenditures'!AL48+'C.2 State Expenditures'!AL48</f>
        <v>263370</v>
      </c>
      <c r="AM48" s="23">
        <f>'C.1 Federal Expenditures'!AM48+'C.2 State Expenditures'!AM48</f>
        <v>9504668</v>
      </c>
      <c r="AN48" s="23">
        <f>'C.1 Federal Expenditures'!AN48+'C.2 State Expenditures'!AN48</f>
        <v>7695790</v>
      </c>
      <c r="AO48" s="23">
        <f>'C.1 Federal Expenditures'!AO48+'C.2 State Expenditures'!AO48</f>
        <v>254321</v>
      </c>
      <c r="AP48" s="23">
        <f>'C.1 Federal Expenditures'!AP48+'C.2 State Expenditures'!AP48</f>
        <v>1554557</v>
      </c>
      <c r="AQ48" s="23">
        <f>'C.1 Federal Expenditures'!AQ48+'C.2 State Expenditures'!AQ48</f>
        <v>0</v>
      </c>
      <c r="AR48" s="23">
        <f>'C.1 Federal Expenditures'!AR48+'C.2 State Expenditures'!AR48</f>
        <v>76032395</v>
      </c>
      <c r="AS48" s="23">
        <f>'C.1 Federal Expenditures'!AS48</f>
        <v>0</v>
      </c>
      <c r="AT48" s="23">
        <f>'C.1 Federal Expenditures'!AT48</f>
        <v>98213611</v>
      </c>
      <c r="AU48" s="8"/>
      <c r="AV48" s="8"/>
      <c r="AW48" s="8"/>
      <c r="AX48" s="8"/>
      <c r="AY48" s="8"/>
      <c r="AZ48" s="8"/>
      <c r="BA48" s="8"/>
      <c r="BB48" s="8"/>
      <c r="BC48" s="8"/>
      <c r="BD48" s="8"/>
      <c r="BE48" s="8"/>
    </row>
    <row r="49" spans="1:57" x14ac:dyDescent="0.25">
      <c r="A49" s="33" t="s">
        <v>160</v>
      </c>
      <c r="B49" s="23">
        <f>'C.1 Federal Expenditures'!B49+'C.2 State Expenditures'!B49</f>
        <v>47196916</v>
      </c>
      <c r="C49" s="23">
        <f>'C.1 Federal Expenditures'!C49+'C.2 State Expenditures'!C49</f>
        <v>9224076</v>
      </c>
      <c r="D49" s="23">
        <f>'C.1 Federal Expenditures'!D49+'C.2 State Expenditures'!D49</f>
        <v>4719688</v>
      </c>
      <c r="E49" s="23">
        <f>'C.1 Federal Expenditures'!E49+'C.2 State Expenditures'!E49</f>
        <v>33253152</v>
      </c>
      <c r="F49" s="23">
        <f>'C.1 Federal Expenditures'!F49+'C.2 State Expenditures'!F49</f>
        <v>0</v>
      </c>
      <c r="G49" s="23">
        <f>'C.1 Federal Expenditures'!G49+'C.2 State Expenditures'!G49</f>
        <v>13584363.300000001</v>
      </c>
      <c r="H49" s="23">
        <f>'C.1 Federal Expenditures'!H49+'C.2 State Expenditures'!H49</f>
        <v>13584363.300000001</v>
      </c>
      <c r="I49" s="23">
        <f>'C.1 Federal Expenditures'!I49+'C.2 State Expenditures'!I49</f>
        <v>0</v>
      </c>
      <c r="J49" s="23">
        <f>'C.1 Federal Expenditures'!J49+'C.2 State Expenditures'!J49</f>
        <v>0</v>
      </c>
      <c r="K49" s="23">
        <f>'C.1 Federal Expenditures'!K49+'C.2 State Expenditures'!K49</f>
        <v>0</v>
      </c>
      <c r="L49" s="23">
        <f>'C.1 Federal Expenditures'!L49+'C.2 State Expenditures'!L49</f>
        <v>0</v>
      </c>
      <c r="M49" s="23">
        <f>'C.1 Federal Expenditures'!M49+'C.2 State Expenditures'!M49</f>
        <v>0</v>
      </c>
      <c r="N49" s="23">
        <f>'C.1 Federal Expenditures'!N49+'C.2 State Expenditures'!N49</f>
        <v>11747193.029999999</v>
      </c>
      <c r="O49" s="23">
        <f>'C.1 Federal Expenditures'!O49+'C.2 State Expenditures'!O49</f>
        <v>11747193.029999999</v>
      </c>
      <c r="P49" s="23">
        <f>'C.1 Federal Expenditures'!P49+'C.2 State Expenditures'!P49</f>
        <v>0</v>
      </c>
      <c r="Q49" s="23">
        <f>'C.1 Federal Expenditures'!Q49+'C.2 State Expenditures'!Q49</f>
        <v>0</v>
      </c>
      <c r="R49" s="23">
        <f>'C.1 Federal Expenditures'!R49+'C.2 State Expenditures'!R49</f>
        <v>277978.04000000004</v>
      </c>
      <c r="S49" s="23">
        <f>'C.1 Federal Expenditures'!S49+'C.2 State Expenditures'!S49</f>
        <v>0</v>
      </c>
      <c r="T49" s="23">
        <f>'C.1 Federal Expenditures'!T49+'C.2 State Expenditures'!T49</f>
        <v>8447.27</v>
      </c>
      <c r="U49" s="23">
        <f>'C.1 Federal Expenditures'!U49+'C.2 State Expenditures'!U49</f>
        <v>269530.77</v>
      </c>
      <c r="V49" s="23">
        <f>'C.1 Federal Expenditures'!V49+'C.2 State Expenditures'!V49</f>
        <v>1356443.96</v>
      </c>
      <c r="W49" s="23">
        <f>'C.1 Federal Expenditures'!W49+'C.2 State Expenditures'!W49</f>
        <v>67496604.629999995</v>
      </c>
      <c r="X49" s="23">
        <f>'C.1 Federal Expenditures'!X49+'C.2 State Expenditures'!X49</f>
        <v>67496604.629999995</v>
      </c>
      <c r="Y49" s="23">
        <f>'C.1 Federal Expenditures'!Y49+'C.2 State Expenditures'!Y49</f>
        <v>0</v>
      </c>
      <c r="Z49" s="23">
        <f>'C.1 Federal Expenditures'!Z49+'C.2 State Expenditures'!Z49</f>
        <v>0</v>
      </c>
      <c r="AA49" s="23">
        <f>'C.1 Federal Expenditures'!AA49+'C.2 State Expenditures'!AA49</f>
        <v>17728444.34</v>
      </c>
      <c r="AB49" s="23">
        <f>'C.1 Federal Expenditures'!AB49+'C.2 State Expenditures'!AB49</f>
        <v>0</v>
      </c>
      <c r="AC49" s="23">
        <f>'C.1 Federal Expenditures'!AC49+'C.2 State Expenditures'!AC49</f>
        <v>143962.09999999998</v>
      </c>
      <c r="AD49" s="23">
        <f>'C.1 Federal Expenditures'!AD49+'C.2 State Expenditures'!AD49</f>
        <v>195027.20000000001</v>
      </c>
      <c r="AE49" s="23">
        <f>'C.1 Federal Expenditures'!AE49+'C.2 State Expenditures'!AE49</f>
        <v>4240242.21</v>
      </c>
      <c r="AF49" s="23">
        <f>'C.1 Federal Expenditures'!AF49+'C.2 State Expenditures'!AF49</f>
        <v>125000</v>
      </c>
      <c r="AG49" s="23">
        <f>'C.1 Federal Expenditures'!AG49+'C.2 State Expenditures'!AG49</f>
        <v>0</v>
      </c>
      <c r="AH49" s="23">
        <f>'C.1 Federal Expenditures'!AH49+'C.2 State Expenditures'!AH49</f>
        <v>0</v>
      </c>
      <c r="AI49" s="23">
        <f>'C.1 Federal Expenditures'!AI49+'C.2 State Expenditures'!AI49</f>
        <v>0</v>
      </c>
      <c r="AJ49" s="23">
        <f>'C.1 Federal Expenditures'!AJ49+'C.2 State Expenditures'!AJ49</f>
        <v>0</v>
      </c>
      <c r="AK49" s="23">
        <f>'C.1 Federal Expenditures'!AK49+'C.2 State Expenditures'!AK49</f>
        <v>0</v>
      </c>
      <c r="AL49" s="23">
        <f>'C.1 Federal Expenditures'!AL49+'C.2 State Expenditures'!AL49</f>
        <v>0</v>
      </c>
      <c r="AM49" s="23">
        <f>'C.1 Federal Expenditures'!AM49+'C.2 State Expenditures'!AM49</f>
        <v>13847762.550000001</v>
      </c>
      <c r="AN49" s="23">
        <f>'C.1 Federal Expenditures'!AN49+'C.2 State Expenditures'!AN49</f>
        <v>7260098.46</v>
      </c>
      <c r="AO49" s="23">
        <f>'C.1 Federal Expenditures'!AO49+'C.2 State Expenditures'!AO49</f>
        <v>5137000.5999999996</v>
      </c>
      <c r="AP49" s="23">
        <f>'C.1 Federal Expenditures'!AP49+'C.2 State Expenditures'!AP49</f>
        <v>1450663.5</v>
      </c>
      <c r="AQ49" s="23">
        <f>'C.1 Federal Expenditures'!AQ49+'C.2 State Expenditures'!AQ49</f>
        <v>0</v>
      </c>
      <c r="AR49" s="23">
        <f>'C.1 Federal Expenditures'!AR49+'C.2 State Expenditures'!AR49</f>
        <v>130743021.36</v>
      </c>
      <c r="AS49" s="23">
        <f>'C.1 Federal Expenditures'!AS49</f>
        <v>0</v>
      </c>
      <c r="AT49" s="23">
        <f>'C.1 Federal Expenditures'!AT49</f>
        <v>0</v>
      </c>
      <c r="AU49" s="8"/>
      <c r="AV49" s="8"/>
      <c r="AW49" s="8"/>
      <c r="AX49" s="8"/>
      <c r="AY49" s="8"/>
      <c r="AZ49" s="8"/>
      <c r="BA49" s="8"/>
      <c r="BB49" s="8"/>
      <c r="BC49" s="8"/>
      <c r="BD49" s="8"/>
      <c r="BE49" s="8"/>
    </row>
    <row r="50" spans="1:57" x14ac:dyDescent="0.25">
      <c r="A50" s="33" t="s">
        <v>161</v>
      </c>
      <c r="B50" s="23">
        <f>'C.1 Federal Expenditures'!B50+'C.2 State Expenditures'!B50</f>
        <v>157762831</v>
      </c>
      <c r="C50" s="23">
        <f>'C.1 Federal Expenditures'!C50+'C.2 State Expenditures'!C50</f>
        <v>2659033</v>
      </c>
      <c r="D50" s="23">
        <f>'C.1 Federal Expenditures'!D50+'C.2 State Expenditures'!D50</f>
        <v>15776283</v>
      </c>
      <c r="E50" s="23">
        <f>'C.1 Federal Expenditures'!E50+'C.2 State Expenditures'!E50</f>
        <v>139327515</v>
      </c>
      <c r="F50" s="23">
        <f>'C.1 Federal Expenditures'!F50+'C.2 State Expenditures'!F50</f>
        <v>45914200</v>
      </c>
      <c r="G50" s="23">
        <f>'C.1 Federal Expenditures'!G50+'C.2 State Expenditures'!G50</f>
        <v>68554925</v>
      </c>
      <c r="H50" s="23">
        <f>'C.1 Federal Expenditures'!H50+'C.2 State Expenditures'!H50</f>
        <v>68554925</v>
      </c>
      <c r="I50" s="23">
        <f>'C.1 Federal Expenditures'!I50+'C.2 State Expenditures'!I50</f>
        <v>0</v>
      </c>
      <c r="J50" s="23">
        <f>'C.1 Federal Expenditures'!J50+'C.2 State Expenditures'!J50</f>
        <v>0</v>
      </c>
      <c r="K50" s="23">
        <f>'C.1 Federal Expenditures'!K50+'C.2 State Expenditures'!K50</f>
        <v>0</v>
      </c>
      <c r="L50" s="23">
        <f>'C.1 Federal Expenditures'!L50+'C.2 State Expenditures'!L50</f>
        <v>0</v>
      </c>
      <c r="M50" s="23">
        <f>'C.1 Federal Expenditures'!M50+'C.2 State Expenditures'!M50</f>
        <v>0</v>
      </c>
      <c r="N50" s="23">
        <f>'C.1 Federal Expenditures'!N50+'C.2 State Expenditures'!N50</f>
        <v>0</v>
      </c>
      <c r="O50" s="23">
        <f>'C.1 Federal Expenditures'!O50+'C.2 State Expenditures'!O50</f>
        <v>0</v>
      </c>
      <c r="P50" s="23">
        <f>'C.1 Federal Expenditures'!P50+'C.2 State Expenditures'!P50</f>
        <v>0</v>
      </c>
      <c r="Q50" s="23">
        <f>'C.1 Federal Expenditures'!Q50+'C.2 State Expenditures'!Q50</f>
        <v>0</v>
      </c>
      <c r="R50" s="23">
        <f>'C.1 Federal Expenditures'!R50+'C.2 State Expenditures'!R50</f>
        <v>39578897</v>
      </c>
      <c r="S50" s="23">
        <f>'C.1 Federal Expenditures'!S50+'C.2 State Expenditures'!S50</f>
        <v>151193</v>
      </c>
      <c r="T50" s="23">
        <f>'C.1 Federal Expenditures'!T50+'C.2 State Expenditures'!T50</f>
        <v>706838</v>
      </c>
      <c r="U50" s="23">
        <f>'C.1 Federal Expenditures'!U50+'C.2 State Expenditures'!U50</f>
        <v>38720866</v>
      </c>
      <c r="V50" s="23">
        <f>'C.1 Federal Expenditures'!V50+'C.2 State Expenditures'!V50</f>
        <v>5692137</v>
      </c>
      <c r="W50" s="23">
        <f>'C.1 Federal Expenditures'!W50+'C.2 State Expenditures'!W50</f>
        <v>21687237</v>
      </c>
      <c r="X50" s="23">
        <f>'C.1 Federal Expenditures'!X50+'C.2 State Expenditures'!X50</f>
        <v>10845862</v>
      </c>
      <c r="Y50" s="23">
        <f>'C.1 Federal Expenditures'!Y50+'C.2 State Expenditures'!Y50</f>
        <v>10841375</v>
      </c>
      <c r="Z50" s="23">
        <f>'C.1 Federal Expenditures'!Z50+'C.2 State Expenditures'!Z50</f>
        <v>0</v>
      </c>
      <c r="AA50" s="23">
        <f>'C.1 Federal Expenditures'!AA50+'C.2 State Expenditures'!AA50</f>
        <v>0</v>
      </c>
      <c r="AB50" s="23">
        <f>'C.1 Federal Expenditures'!AB50+'C.2 State Expenditures'!AB50</f>
        <v>0</v>
      </c>
      <c r="AC50" s="23">
        <f>'C.1 Federal Expenditures'!AC50+'C.2 State Expenditures'!AC50</f>
        <v>6316293</v>
      </c>
      <c r="AD50" s="23">
        <f>'C.1 Federal Expenditures'!AD50+'C.2 State Expenditures'!AD50</f>
        <v>5107699</v>
      </c>
      <c r="AE50" s="23">
        <f>'C.1 Federal Expenditures'!AE50+'C.2 State Expenditures'!AE50</f>
        <v>2023139</v>
      </c>
      <c r="AF50" s="23">
        <f>'C.1 Federal Expenditures'!AF50+'C.2 State Expenditures'!AF50</f>
        <v>0</v>
      </c>
      <c r="AG50" s="23">
        <f>'C.1 Federal Expenditures'!AG50+'C.2 State Expenditures'!AG50</f>
        <v>0</v>
      </c>
      <c r="AH50" s="23">
        <f>'C.1 Federal Expenditures'!AH50+'C.2 State Expenditures'!AH50</f>
        <v>66045687</v>
      </c>
      <c r="AI50" s="23">
        <f>'C.1 Federal Expenditures'!AI50+'C.2 State Expenditures'!AI50</f>
        <v>55671904</v>
      </c>
      <c r="AJ50" s="23">
        <f>'C.1 Federal Expenditures'!AJ50+'C.2 State Expenditures'!AJ50</f>
        <v>0</v>
      </c>
      <c r="AK50" s="23">
        <f>'C.1 Federal Expenditures'!AK50+'C.2 State Expenditures'!AK50</f>
        <v>10373783</v>
      </c>
      <c r="AL50" s="23">
        <f>'C.1 Federal Expenditures'!AL50+'C.2 State Expenditures'!AL50</f>
        <v>504077</v>
      </c>
      <c r="AM50" s="23">
        <f>'C.1 Federal Expenditures'!AM50+'C.2 State Expenditures'!AM50</f>
        <v>45875811</v>
      </c>
      <c r="AN50" s="23">
        <f>'C.1 Federal Expenditures'!AN50+'C.2 State Expenditures'!AN50</f>
        <v>40317994</v>
      </c>
      <c r="AO50" s="23">
        <f>'C.1 Federal Expenditures'!AO50+'C.2 State Expenditures'!AO50</f>
        <v>0</v>
      </c>
      <c r="AP50" s="23">
        <f>'C.1 Federal Expenditures'!AP50+'C.2 State Expenditures'!AP50</f>
        <v>5557817</v>
      </c>
      <c r="AQ50" s="23">
        <f>'C.1 Federal Expenditures'!AQ50+'C.2 State Expenditures'!AQ50</f>
        <v>19074836</v>
      </c>
      <c r="AR50" s="23">
        <f>'C.1 Federal Expenditures'!AR50+'C.2 State Expenditures'!AR50</f>
        <v>280460738</v>
      </c>
      <c r="AS50" s="23">
        <f>'C.1 Federal Expenditures'!AS50</f>
        <v>2062879</v>
      </c>
      <c r="AT50" s="23">
        <f>'C.1 Federal Expenditures'!AT50</f>
        <v>32177214</v>
      </c>
      <c r="AU50" s="8"/>
      <c r="AV50" s="8"/>
      <c r="AW50" s="8"/>
      <c r="AX50" s="8"/>
      <c r="AY50" s="8"/>
      <c r="AZ50" s="8"/>
      <c r="BA50" s="8"/>
      <c r="BB50" s="8"/>
      <c r="BC50" s="8"/>
      <c r="BD50" s="8"/>
      <c r="BE50" s="8"/>
    </row>
    <row r="51" spans="1:57" x14ac:dyDescent="0.25">
      <c r="A51" s="33" t="s">
        <v>162</v>
      </c>
      <c r="B51" s="23">
        <f>'C.1 Federal Expenditures'!B51+'C.2 State Expenditures'!B51</f>
        <v>424923772.06</v>
      </c>
      <c r="C51" s="23">
        <f>'C.1 Federal Expenditures'!C51+'C.2 State Expenditures'!C51</f>
        <v>108021310.59999999</v>
      </c>
      <c r="D51" s="23">
        <f>'C.1 Federal Expenditures'!D51+'C.2 State Expenditures'!D51</f>
        <v>5675000</v>
      </c>
      <c r="E51" s="23">
        <f>'C.1 Federal Expenditures'!E51+'C.2 State Expenditures'!E51</f>
        <v>265291391.40000001</v>
      </c>
      <c r="F51" s="23">
        <f>'C.1 Federal Expenditures'!F51+'C.2 State Expenditures'!F51</f>
        <v>0</v>
      </c>
      <c r="G51" s="23">
        <f>'C.1 Federal Expenditures'!G51+'C.2 State Expenditures'!G51</f>
        <v>221730922.63999999</v>
      </c>
      <c r="H51" s="23">
        <f>'C.1 Federal Expenditures'!H51+'C.2 State Expenditures'!H51</f>
        <v>221730922.63999999</v>
      </c>
      <c r="I51" s="23">
        <f>'C.1 Federal Expenditures'!I51+'C.2 State Expenditures'!I51</f>
        <v>0</v>
      </c>
      <c r="J51" s="23">
        <f>'C.1 Federal Expenditures'!J51+'C.2 State Expenditures'!J51</f>
        <v>0</v>
      </c>
      <c r="K51" s="23">
        <f>'C.1 Federal Expenditures'!K51+'C.2 State Expenditures'!K51</f>
        <v>0</v>
      </c>
      <c r="L51" s="23">
        <f>'C.1 Federal Expenditures'!L51+'C.2 State Expenditures'!L51</f>
        <v>0</v>
      </c>
      <c r="M51" s="23">
        <f>'C.1 Federal Expenditures'!M51+'C.2 State Expenditures'!M51</f>
        <v>0</v>
      </c>
      <c r="N51" s="23">
        <f>'C.1 Federal Expenditures'!N51+'C.2 State Expenditures'!N51</f>
        <v>0</v>
      </c>
      <c r="O51" s="23">
        <f>'C.1 Federal Expenditures'!O51+'C.2 State Expenditures'!O51</f>
        <v>0</v>
      </c>
      <c r="P51" s="23">
        <f>'C.1 Federal Expenditures'!P51+'C.2 State Expenditures'!P51</f>
        <v>0</v>
      </c>
      <c r="Q51" s="23">
        <f>'C.1 Federal Expenditures'!Q51+'C.2 State Expenditures'!Q51</f>
        <v>0</v>
      </c>
      <c r="R51" s="23">
        <f>'C.1 Federal Expenditures'!R51+'C.2 State Expenditures'!R51</f>
        <v>127996442.14</v>
      </c>
      <c r="S51" s="23">
        <f>'C.1 Federal Expenditures'!S51+'C.2 State Expenditures'!S51</f>
        <v>13248210.49</v>
      </c>
      <c r="T51" s="23">
        <f>'C.1 Federal Expenditures'!T51+'C.2 State Expenditures'!T51</f>
        <v>75891817.790000007</v>
      </c>
      <c r="U51" s="23">
        <f>'C.1 Federal Expenditures'!U51+'C.2 State Expenditures'!U51</f>
        <v>38856413.859999999</v>
      </c>
      <c r="V51" s="23">
        <f>'C.1 Federal Expenditures'!V51+'C.2 State Expenditures'!V51</f>
        <v>0</v>
      </c>
      <c r="W51" s="23">
        <f>'C.1 Federal Expenditures'!W51+'C.2 State Expenditures'!W51</f>
        <v>185767873.44</v>
      </c>
      <c r="X51" s="23">
        <f>'C.1 Federal Expenditures'!X51+'C.2 State Expenditures'!X51</f>
        <v>92205381.640000001</v>
      </c>
      <c r="Y51" s="23">
        <f>'C.1 Federal Expenditures'!Y51+'C.2 State Expenditures'!Y51</f>
        <v>93562491.799999997</v>
      </c>
      <c r="Z51" s="23">
        <f>'C.1 Federal Expenditures'!Z51+'C.2 State Expenditures'!Z51</f>
        <v>0</v>
      </c>
      <c r="AA51" s="23">
        <f>'C.1 Federal Expenditures'!AA51+'C.2 State Expenditures'!AA51</f>
        <v>83714067</v>
      </c>
      <c r="AB51" s="23">
        <f>'C.1 Federal Expenditures'!AB51+'C.2 State Expenditures'!AB51</f>
        <v>0</v>
      </c>
      <c r="AC51" s="23">
        <f>'C.1 Federal Expenditures'!AC51+'C.2 State Expenditures'!AC51</f>
        <v>91869033.739999995</v>
      </c>
      <c r="AD51" s="23">
        <f>'C.1 Federal Expenditures'!AD51+'C.2 State Expenditures'!AD51</f>
        <v>1910065.01</v>
      </c>
      <c r="AE51" s="23">
        <f>'C.1 Federal Expenditures'!AE51+'C.2 State Expenditures'!AE51</f>
        <v>386072332.50999999</v>
      </c>
      <c r="AF51" s="23">
        <f>'C.1 Federal Expenditures'!AF51+'C.2 State Expenditures'!AF51</f>
        <v>0</v>
      </c>
      <c r="AG51" s="23">
        <f>'C.1 Federal Expenditures'!AG51+'C.2 State Expenditures'!AG51</f>
        <v>0</v>
      </c>
      <c r="AH51" s="23">
        <f>'C.1 Federal Expenditures'!AH51+'C.2 State Expenditures'!AH51</f>
        <v>20548000</v>
      </c>
      <c r="AI51" s="23">
        <f>'C.1 Federal Expenditures'!AI51+'C.2 State Expenditures'!AI51</f>
        <v>0</v>
      </c>
      <c r="AJ51" s="23">
        <f>'C.1 Federal Expenditures'!AJ51+'C.2 State Expenditures'!AJ51</f>
        <v>0</v>
      </c>
      <c r="AK51" s="23">
        <f>'C.1 Federal Expenditures'!AK51+'C.2 State Expenditures'!AK51</f>
        <v>20548000</v>
      </c>
      <c r="AL51" s="23">
        <f>'C.1 Federal Expenditures'!AL51+'C.2 State Expenditures'!AL51</f>
        <v>0</v>
      </c>
      <c r="AM51" s="23">
        <f>'C.1 Federal Expenditures'!AM51+'C.2 State Expenditures'!AM51</f>
        <v>56569178.129999995</v>
      </c>
      <c r="AN51" s="23">
        <f>'C.1 Federal Expenditures'!AN51+'C.2 State Expenditures'!AN51</f>
        <v>39774801.319999993</v>
      </c>
      <c r="AO51" s="23">
        <f>'C.1 Federal Expenditures'!AO51+'C.2 State Expenditures'!AO51</f>
        <v>0</v>
      </c>
      <c r="AP51" s="23">
        <f>'C.1 Federal Expenditures'!AP51+'C.2 State Expenditures'!AP51</f>
        <v>16794376.809999999</v>
      </c>
      <c r="AQ51" s="23">
        <f>'C.1 Federal Expenditures'!AQ51+'C.2 State Expenditures'!AQ51</f>
        <v>108108741.41000001</v>
      </c>
      <c r="AR51" s="23">
        <f>'C.1 Federal Expenditures'!AR51+'C.2 State Expenditures'!AR51</f>
        <v>1284286656.01</v>
      </c>
      <c r="AS51" s="23">
        <f>'C.1 Federal Expenditures'!AS51</f>
        <v>57008834.729999997</v>
      </c>
      <c r="AT51" s="23">
        <f>'C.1 Federal Expenditures'!AT51</f>
        <v>0</v>
      </c>
      <c r="AU51" s="8"/>
      <c r="AV51" s="8"/>
      <c r="AW51" s="8"/>
      <c r="AX51" s="8"/>
      <c r="AY51" s="8"/>
      <c r="AZ51" s="8"/>
      <c r="BA51" s="8"/>
      <c r="BB51" s="8"/>
      <c r="BC51" s="8"/>
      <c r="BD51" s="8"/>
      <c r="BE51" s="8"/>
    </row>
    <row r="52" spans="1:57" x14ac:dyDescent="0.25">
      <c r="A52" s="33" t="s">
        <v>163</v>
      </c>
      <c r="B52" s="23">
        <f>'C.1 Federal Expenditures'!B52+'C.2 State Expenditures'!B52</f>
        <v>109812728</v>
      </c>
      <c r="C52" s="23">
        <f>'C.1 Federal Expenditures'!C52+'C.2 State Expenditures'!C52</f>
        <v>0</v>
      </c>
      <c r="D52" s="23">
        <f>'C.1 Federal Expenditures'!D52+'C.2 State Expenditures'!D52</f>
        <v>10981270</v>
      </c>
      <c r="E52" s="23">
        <f>'C.1 Federal Expenditures'!E52+'C.2 State Expenditures'!E52</f>
        <v>98831458</v>
      </c>
      <c r="F52" s="23">
        <f>'C.1 Federal Expenditures'!F52+'C.2 State Expenditures'!F52</f>
        <v>141758508.78999999</v>
      </c>
      <c r="G52" s="23">
        <f>'C.1 Federal Expenditures'!G52+'C.2 State Expenditures'!G52</f>
        <v>41374940.75</v>
      </c>
      <c r="H52" s="23">
        <f>'C.1 Federal Expenditures'!H52+'C.2 State Expenditures'!H52</f>
        <v>41374940.75</v>
      </c>
      <c r="I52" s="23">
        <f>'C.1 Federal Expenditures'!I52+'C.2 State Expenditures'!I52</f>
        <v>0</v>
      </c>
      <c r="J52" s="23">
        <f>'C.1 Federal Expenditures'!J52+'C.2 State Expenditures'!J52</f>
        <v>20110217.16</v>
      </c>
      <c r="K52" s="23">
        <f>'C.1 Federal Expenditures'!K52+'C.2 State Expenditures'!K52</f>
        <v>19945249.859999999</v>
      </c>
      <c r="L52" s="23">
        <f>'C.1 Federal Expenditures'!L52+'C.2 State Expenditures'!L52</f>
        <v>0</v>
      </c>
      <c r="M52" s="23">
        <f>'C.1 Federal Expenditures'!M52+'C.2 State Expenditures'!M52</f>
        <v>164967.29999999999</v>
      </c>
      <c r="N52" s="23">
        <f>'C.1 Federal Expenditures'!N52+'C.2 State Expenditures'!N52</f>
        <v>0</v>
      </c>
      <c r="O52" s="23">
        <f>'C.1 Federal Expenditures'!O52+'C.2 State Expenditures'!O52</f>
        <v>0</v>
      </c>
      <c r="P52" s="23">
        <f>'C.1 Federal Expenditures'!P52+'C.2 State Expenditures'!P52</f>
        <v>0</v>
      </c>
      <c r="Q52" s="23">
        <f>'C.1 Federal Expenditures'!Q52+'C.2 State Expenditures'!Q52</f>
        <v>0</v>
      </c>
      <c r="R52" s="23">
        <f>'C.1 Federal Expenditures'!R52+'C.2 State Expenditures'!R52</f>
        <v>222024.5</v>
      </c>
      <c r="S52" s="23">
        <f>'C.1 Federal Expenditures'!S52+'C.2 State Expenditures'!S52</f>
        <v>0</v>
      </c>
      <c r="T52" s="23">
        <f>'C.1 Federal Expenditures'!T52+'C.2 State Expenditures'!T52</f>
        <v>0</v>
      </c>
      <c r="U52" s="23">
        <f>'C.1 Federal Expenditures'!U52+'C.2 State Expenditures'!U52</f>
        <v>222024.5</v>
      </c>
      <c r="V52" s="23">
        <f>'C.1 Federal Expenditures'!V52+'C.2 State Expenditures'!V52</f>
        <v>11595009.640000001</v>
      </c>
      <c r="W52" s="23">
        <f>'C.1 Federal Expenditures'!W52+'C.2 State Expenditures'!W52</f>
        <v>45344987.439999998</v>
      </c>
      <c r="X52" s="23">
        <f>'C.1 Federal Expenditures'!X52+'C.2 State Expenditures'!X52</f>
        <v>45344987.439999998</v>
      </c>
      <c r="Y52" s="23">
        <f>'C.1 Federal Expenditures'!Y52+'C.2 State Expenditures'!Y52</f>
        <v>0</v>
      </c>
      <c r="Z52" s="23">
        <f>'C.1 Federal Expenditures'!Z52+'C.2 State Expenditures'!Z52</f>
        <v>0</v>
      </c>
      <c r="AA52" s="23">
        <f>'C.1 Federal Expenditures'!AA52+'C.2 State Expenditures'!AA52</f>
        <v>0</v>
      </c>
      <c r="AB52" s="23">
        <f>'C.1 Federal Expenditures'!AB52+'C.2 State Expenditures'!AB52</f>
        <v>0</v>
      </c>
      <c r="AC52" s="23">
        <f>'C.1 Federal Expenditures'!AC52+'C.2 State Expenditures'!AC52</f>
        <v>2074086.69</v>
      </c>
      <c r="AD52" s="23">
        <f>'C.1 Federal Expenditures'!AD52+'C.2 State Expenditures'!AD52</f>
        <v>13990339.58</v>
      </c>
      <c r="AE52" s="23">
        <f>'C.1 Federal Expenditures'!AE52+'C.2 State Expenditures'!AE52</f>
        <v>83138.53</v>
      </c>
      <c r="AF52" s="23">
        <f>'C.1 Federal Expenditures'!AF52+'C.2 State Expenditures'!AF52</f>
        <v>0</v>
      </c>
      <c r="AG52" s="23">
        <f>'C.1 Federal Expenditures'!AG52+'C.2 State Expenditures'!AG52</f>
        <v>0</v>
      </c>
      <c r="AH52" s="23">
        <f>'C.1 Federal Expenditures'!AH52+'C.2 State Expenditures'!AH52</f>
        <v>99926.28</v>
      </c>
      <c r="AI52" s="23">
        <f>'C.1 Federal Expenditures'!AI52+'C.2 State Expenditures'!AI52</f>
        <v>0</v>
      </c>
      <c r="AJ52" s="23">
        <f>'C.1 Federal Expenditures'!AJ52+'C.2 State Expenditures'!AJ52</f>
        <v>0</v>
      </c>
      <c r="AK52" s="23">
        <f>'C.1 Federal Expenditures'!AK52+'C.2 State Expenditures'!AK52</f>
        <v>99926.28</v>
      </c>
      <c r="AL52" s="23">
        <f>'C.1 Federal Expenditures'!AL52+'C.2 State Expenditures'!AL52</f>
        <v>0</v>
      </c>
      <c r="AM52" s="23">
        <f>'C.1 Federal Expenditures'!AM52+'C.2 State Expenditures'!AM52</f>
        <v>18032929.98</v>
      </c>
      <c r="AN52" s="23">
        <f>'C.1 Federal Expenditures'!AN52+'C.2 State Expenditures'!AN52</f>
        <v>13548407.899999999</v>
      </c>
      <c r="AO52" s="23">
        <f>'C.1 Federal Expenditures'!AO52+'C.2 State Expenditures'!AO52</f>
        <v>0</v>
      </c>
      <c r="AP52" s="23">
        <f>'C.1 Federal Expenditures'!AP52+'C.2 State Expenditures'!AP52</f>
        <v>4484522.08</v>
      </c>
      <c r="AQ52" s="23">
        <f>'C.1 Federal Expenditures'!AQ52+'C.2 State Expenditures'!AQ52</f>
        <v>0</v>
      </c>
      <c r="AR52" s="23">
        <f>'C.1 Federal Expenditures'!AR52+'C.2 State Expenditures'!AR52</f>
        <v>152927600.55000001</v>
      </c>
      <c r="AS52" s="23">
        <f>'C.1 Federal Expenditures'!AS52</f>
        <v>0</v>
      </c>
      <c r="AT52" s="23">
        <f>'C.1 Federal Expenditures'!AT52</f>
        <v>122108810.23999999</v>
      </c>
      <c r="AU52" s="8"/>
      <c r="AV52" s="8"/>
      <c r="AW52" s="8"/>
      <c r="AX52" s="8"/>
      <c r="AY52" s="8"/>
      <c r="AZ52" s="8"/>
      <c r="BA52" s="8"/>
      <c r="BB52" s="8"/>
      <c r="BC52" s="8"/>
      <c r="BD52" s="8"/>
      <c r="BE52" s="8"/>
    </row>
    <row r="53" spans="1:57" x14ac:dyDescent="0.25">
      <c r="A53" s="33" t="s">
        <v>164</v>
      </c>
      <c r="B53" s="23">
        <f>'C.1 Federal Expenditures'!B53+'C.2 State Expenditures'!B53</f>
        <v>312845980</v>
      </c>
      <c r="C53" s="23">
        <f>'C.1 Federal Expenditures'!C53+'C.2 State Expenditures'!C53</f>
        <v>62569196</v>
      </c>
      <c r="D53" s="23">
        <f>'C.1 Federal Expenditures'!D53+'C.2 State Expenditures'!D53</f>
        <v>14653500</v>
      </c>
      <c r="E53" s="23">
        <f>'C.1 Federal Expenditures'!E53+'C.2 State Expenditures'!E53</f>
        <v>235623284</v>
      </c>
      <c r="F53" s="23">
        <f>'C.1 Federal Expenditures'!F53+'C.2 State Expenditures'!F53</f>
        <v>397094509</v>
      </c>
      <c r="G53" s="23">
        <f>'C.1 Federal Expenditures'!G53+'C.2 State Expenditures'!G53</f>
        <v>62580997.859999999</v>
      </c>
      <c r="H53" s="23">
        <f>'C.1 Federal Expenditures'!H53+'C.2 State Expenditures'!H53</f>
        <v>62580997.859999999</v>
      </c>
      <c r="I53" s="23">
        <f>'C.1 Federal Expenditures'!I53+'C.2 State Expenditures'!I53</f>
        <v>0</v>
      </c>
      <c r="J53" s="23">
        <f>'C.1 Federal Expenditures'!J53+'C.2 State Expenditures'!J53</f>
        <v>0</v>
      </c>
      <c r="K53" s="23">
        <f>'C.1 Federal Expenditures'!K53+'C.2 State Expenditures'!K53</f>
        <v>0</v>
      </c>
      <c r="L53" s="23">
        <f>'C.1 Federal Expenditures'!L53+'C.2 State Expenditures'!L53</f>
        <v>0</v>
      </c>
      <c r="M53" s="23">
        <f>'C.1 Federal Expenditures'!M53+'C.2 State Expenditures'!M53</f>
        <v>0</v>
      </c>
      <c r="N53" s="23">
        <f>'C.1 Federal Expenditures'!N53+'C.2 State Expenditures'!N53</f>
        <v>0</v>
      </c>
      <c r="O53" s="23">
        <f>'C.1 Federal Expenditures'!O53+'C.2 State Expenditures'!O53</f>
        <v>0</v>
      </c>
      <c r="P53" s="23">
        <f>'C.1 Federal Expenditures'!P53+'C.2 State Expenditures'!P53</f>
        <v>0</v>
      </c>
      <c r="Q53" s="23">
        <f>'C.1 Federal Expenditures'!Q53+'C.2 State Expenditures'!Q53</f>
        <v>0</v>
      </c>
      <c r="R53" s="23">
        <f>'C.1 Federal Expenditures'!R53+'C.2 State Expenditures'!R53</f>
        <v>42977988.459999993</v>
      </c>
      <c r="S53" s="23">
        <f>'C.1 Federal Expenditures'!S53+'C.2 State Expenditures'!S53</f>
        <v>3608984.15</v>
      </c>
      <c r="T53" s="23">
        <f>'C.1 Federal Expenditures'!T53+'C.2 State Expenditures'!T53</f>
        <v>8117673.3100000005</v>
      </c>
      <c r="U53" s="23">
        <f>'C.1 Federal Expenditures'!U53+'C.2 State Expenditures'!U53</f>
        <v>31251331</v>
      </c>
      <c r="V53" s="23">
        <f>'C.1 Federal Expenditures'!V53+'C.2 State Expenditures'!V53</f>
        <v>2676706.48</v>
      </c>
      <c r="W53" s="23">
        <f>'C.1 Federal Expenditures'!W53+'C.2 State Expenditures'!W53</f>
        <v>168779350.90000001</v>
      </c>
      <c r="X53" s="23">
        <f>'C.1 Federal Expenditures'!X53+'C.2 State Expenditures'!X53</f>
        <v>168779350.90000001</v>
      </c>
      <c r="Y53" s="23">
        <f>'C.1 Federal Expenditures'!Y53+'C.2 State Expenditures'!Y53</f>
        <v>0</v>
      </c>
      <c r="Z53" s="23">
        <f>'C.1 Federal Expenditures'!Z53+'C.2 State Expenditures'!Z53</f>
        <v>0</v>
      </c>
      <c r="AA53" s="23">
        <f>'C.1 Federal Expenditures'!AA53+'C.2 State Expenditures'!AA53</f>
        <v>61725000</v>
      </c>
      <c r="AB53" s="23">
        <f>'C.1 Federal Expenditures'!AB53+'C.2 State Expenditures'!AB53</f>
        <v>0</v>
      </c>
      <c r="AC53" s="23">
        <f>'C.1 Federal Expenditures'!AC53+'C.2 State Expenditures'!AC53</f>
        <v>27217039.240000002</v>
      </c>
      <c r="AD53" s="23">
        <f>'C.1 Federal Expenditures'!AD53+'C.2 State Expenditures'!AD53</f>
        <v>14757674.039999999</v>
      </c>
      <c r="AE53" s="23">
        <f>'C.1 Federal Expenditures'!AE53+'C.2 State Expenditures'!AE53</f>
        <v>82390278.700000003</v>
      </c>
      <c r="AF53" s="23">
        <f>'C.1 Federal Expenditures'!AF53+'C.2 State Expenditures'!AF53</f>
        <v>1685435.4899999998</v>
      </c>
      <c r="AG53" s="23">
        <f>'C.1 Federal Expenditures'!AG53+'C.2 State Expenditures'!AG53</f>
        <v>1923815.12</v>
      </c>
      <c r="AH53" s="23">
        <f>'C.1 Federal Expenditures'!AH53+'C.2 State Expenditures'!AH53</f>
        <v>8392865.6999999993</v>
      </c>
      <c r="AI53" s="23">
        <f>'C.1 Federal Expenditures'!AI53+'C.2 State Expenditures'!AI53</f>
        <v>8392865.6999999993</v>
      </c>
      <c r="AJ53" s="23">
        <f>'C.1 Federal Expenditures'!AJ53+'C.2 State Expenditures'!AJ53</f>
        <v>0</v>
      </c>
      <c r="AK53" s="23">
        <f>'C.1 Federal Expenditures'!AK53+'C.2 State Expenditures'!AK53</f>
        <v>0</v>
      </c>
      <c r="AL53" s="23">
        <f>'C.1 Federal Expenditures'!AL53+'C.2 State Expenditures'!AL53</f>
        <v>6191804.7999999998</v>
      </c>
      <c r="AM53" s="23">
        <f>'C.1 Federal Expenditures'!AM53+'C.2 State Expenditures'!AM53</f>
        <v>39330728.439999998</v>
      </c>
      <c r="AN53" s="23">
        <f>'C.1 Federal Expenditures'!AN53+'C.2 State Expenditures'!AN53</f>
        <v>31915471.440000001</v>
      </c>
      <c r="AO53" s="23">
        <f>'C.1 Federal Expenditures'!AO53+'C.2 State Expenditures'!AO53</f>
        <v>2616580.21</v>
      </c>
      <c r="AP53" s="23">
        <f>'C.1 Federal Expenditures'!AP53+'C.2 State Expenditures'!AP53</f>
        <v>4798676.79</v>
      </c>
      <c r="AQ53" s="23">
        <f>'C.1 Federal Expenditures'!AQ53+'C.2 State Expenditures'!AQ53</f>
        <v>163937.59</v>
      </c>
      <c r="AR53" s="23">
        <f>'C.1 Federal Expenditures'!AR53+'C.2 State Expenditures'!AR53</f>
        <v>520793622.80000001</v>
      </c>
      <c r="AS53" s="23">
        <f>'C.1 Federal Expenditures'!AS53</f>
        <v>0</v>
      </c>
      <c r="AT53" s="23">
        <f>'C.1 Federal Expenditures'!AT53</f>
        <v>375489410.55000001</v>
      </c>
      <c r="AU53" s="8"/>
      <c r="AV53" s="8"/>
      <c r="AW53" s="8"/>
      <c r="AX53" s="8"/>
      <c r="AY53" s="8"/>
      <c r="AZ53" s="8"/>
      <c r="BA53" s="8"/>
      <c r="BB53" s="8"/>
      <c r="BC53" s="8"/>
      <c r="BD53" s="8"/>
      <c r="BE53" s="8"/>
    </row>
    <row r="54" spans="1:57" x14ac:dyDescent="0.25">
      <c r="A54" s="33" t="s">
        <v>165</v>
      </c>
      <c r="B54" s="23">
        <f>'C.1 Federal Expenditures'!B54+'C.2 State Expenditures'!B54</f>
        <v>18428651</v>
      </c>
      <c r="C54" s="23">
        <f>'C.1 Federal Expenditures'!C54+'C.2 State Expenditures'!C54</f>
        <v>0</v>
      </c>
      <c r="D54" s="23">
        <f>'C.1 Federal Expenditures'!D54+'C.2 State Expenditures'!D54</f>
        <v>0</v>
      </c>
      <c r="E54" s="23">
        <f>'C.1 Federal Expenditures'!E54+'C.2 State Expenditures'!E54</f>
        <v>18428651</v>
      </c>
      <c r="F54" s="23">
        <f>'C.1 Federal Expenditures'!F54+'C.2 State Expenditures'!F54</f>
        <v>23248932</v>
      </c>
      <c r="G54" s="23">
        <f>'C.1 Federal Expenditures'!G54+'C.2 State Expenditures'!G54</f>
        <v>13922296.970000001</v>
      </c>
      <c r="H54" s="23">
        <f>'C.1 Federal Expenditures'!H54+'C.2 State Expenditures'!H54</f>
        <v>5880764.9699999997</v>
      </c>
      <c r="I54" s="23">
        <f>'C.1 Federal Expenditures'!I54+'C.2 State Expenditures'!I54</f>
        <v>8041532</v>
      </c>
      <c r="J54" s="23">
        <f>'C.1 Federal Expenditures'!J54+'C.2 State Expenditures'!J54</f>
        <v>0</v>
      </c>
      <c r="K54" s="23">
        <f>'C.1 Federal Expenditures'!K54+'C.2 State Expenditures'!K54</f>
        <v>0</v>
      </c>
      <c r="L54" s="23">
        <f>'C.1 Federal Expenditures'!L54+'C.2 State Expenditures'!L54</f>
        <v>0</v>
      </c>
      <c r="M54" s="23">
        <f>'C.1 Federal Expenditures'!M54+'C.2 State Expenditures'!M54</f>
        <v>0</v>
      </c>
      <c r="N54" s="23">
        <f>'C.1 Federal Expenditures'!N54+'C.2 State Expenditures'!N54</f>
        <v>0</v>
      </c>
      <c r="O54" s="23">
        <f>'C.1 Federal Expenditures'!O54+'C.2 State Expenditures'!O54</f>
        <v>0</v>
      </c>
      <c r="P54" s="23">
        <f>'C.1 Federal Expenditures'!P54+'C.2 State Expenditures'!P54</f>
        <v>0</v>
      </c>
      <c r="Q54" s="23">
        <f>'C.1 Federal Expenditures'!Q54+'C.2 State Expenditures'!Q54</f>
        <v>0</v>
      </c>
      <c r="R54" s="23">
        <f>'C.1 Federal Expenditures'!R54+'C.2 State Expenditures'!R54</f>
        <v>3586739</v>
      </c>
      <c r="S54" s="23">
        <f>'C.1 Federal Expenditures'!S54+'C.2 State Expenditures'!S54</f>
        <v>0</v>
      </c>
      <c r="T54" s="23">
        <f>'C.1 Federal Expenditures'!T54+'C.2 State Expenditures'!T54</f>
        <v>3586739</v>
      </c>
      <c r="U54" s="23">
        <f>'C.1 Federal Expenditures'!U54+'C.2 State Expenditures'!U54</f>
        <v>0</v>
      </c>
      <c r="V54" s="23">
        <f>'C.1 Federal Expenditures'!V54+'C.2 State Expenditures'!V54</f>
        <v>0</v>
      </c>
      <c r="W54" s="23">
        <f>'C.1 Federal Expenditures'!W54+'C.2 State Expenditures'!W54</f>
        <v>3788215</v>
      </c>
      <c r="X54" s="23">
        <f>'C.1 Federal Expenditures'!X54+'C.2 State Expenditures'!X54</f>
        <v>2240503</v>
      </c>
      <c r="Y54" s="23">
        <f>'C.1 Federal Expenditures'!Y54+'C.2 State Expenditures'!Y54</f>
        <v>1547712</v>
      </c>
      <c r="Z54" s="23">
        <f>'C.1 Federal Expenditures'!Z54+'C.2 State Expenditures'!Z54</f>
        <v>0</v>
      </c>
      <c r="AA54" s="23">
        <f>'C.1 Federal Expenditures'!AA54+'C.2 State Expenditures'!AA54</f>
        <v>0</v>
      </c>
      <c r="AB54" s="23">
        <f>'C.1 Federal Expenditures'!AB54+'C.2 State Expenditures'!AB54</f>
        <v>0</v>
      </c>
      <c r="AC54" s="23">
        <f>'C.1 Federal Expenditures'!AC54+'C.2 State Expenditures'!AC54</f>
        <v>1739541</v>
      </c>
      <c r="AD54" s="23">
        <f>'C.1 Federal Expenditures'!AD54+'C.2 State Expenditures'!AD54</f>
        <v>926521</v>
      </c>
      <c r="AE54" s="23">
        <f>'C.1 Federal Expenditures'!AE54+'C.2 State Expenditures'!AE54</f>
        <v>0</v>
      </c>
      <c r="AF54" s="23">
        <f>'C.1 Federal Expenditures'!AF54+'C.2 State Expenditures'!AF54</f>
        <v>0</v>
      </c>
      <c r="AG54" s="23">
        <f>'C.1 Federal Expenditures'!AG54+'C.2 State Expenditures'!AG54</f>
        <v>0</v>
      </c>
      <c r="AH54" s="23">
        <f>'C.1 Federal Expenditures'!AH54+'C.2 State Expenditures'!AH54</f>
        <v>0</v>
      </c>
      <c r="AI54" s="23">
        <f>'C.1 Federal Expenditures'!AI54+'C.2 State Expenditures'!AI54</f>
        <v>0</v>
      </c>
      <c r="AJ54" s="23">
        <f>'C.1 Federal Expenditures'!AJ54+'C.2 State Expenditures'!AJ54</f>
        <v>0</v>
      </c>
      <c r="AK54" s="23">
        <f>'C.1 Federal Expenditures'!AK54+'C.2 State Expenditures'!AK54</f>
        <v>0</v>
      </c>
      <c r="AL54" s="23">
        <f>'C.1 Federal Expenditures'!AL54+'C.2 State Expenditures'!AL54</f>
        <v>1397288</v>
      </c>
      <c r="AM54" s="23">
        <f>'C.1 Federal Expenditures'!AM54+'C.2 State Expenditures'!AM54</f>
        <v>3603762.5</v>
      </c>
      <c r="AN54" s="23">
        <f>'C.1 Federal Expenditures'!AN54+'C.2 State Expenditures'!AN54</f>
        <v>2479493</v>
      </c>
      <c r="AO54" s="23">
        <f>'C.1 Federal Expenditures'!AO54+'C.2 State Expenditures'!AO54</f>
        <v>942654</v>
      </c>
      <c r="AP54" s="23">
        <f>'C.1 Federal Expenditures'!AP54+'C.2 State Expenditures'!AP54</f>
        <v>181615.5</v>
      </c>
      <c r="AQ54" s="23">
        <f>'C.1 Federal Expenditures'!AQ54+'C.2 State Expenditures'!AQ54</f>
        <v>0</v>
      </c>
      <c r="AR54" s="23">
        <f>'C.1 Federal Expenditures'!AR54+'C.2 State Expenditures'!AR54</f>
        <v>28964363.469999999</v>
      </c>
      <c r="AS54" s="23">
        <f>'C.1 Federal Expenditures'!AS54</f>
        <v>0</v>
      </c>
      <c r="AT54" s="23">
        <f>'C.1 Federal Expenditures'!AT54</f>
        <v>22375961.530000001</v>
      </c>
      <c r="AU54" s="8"/>
      <c r="AV54" s="8"/>
      <c r="AW54" s="8"/>
      <c r="AX54" s="8"/>
      <c r="AY54" s="8"/>
      <c r="AZ54" s="8"/>
      <c r="BA54" s="8"/>
      <c r="BB54" s="8"/>
      <c r="BC54" s="8"/>
      <c r="BD54" s="8"/>
      <c r="BE54" s="8"/>
    </row>
    <row r="55" spans="1:57" x14ac:dyDescent="0.25">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row>
    <row r="56" spans="1:57" x14ac:dyDescent="0.25">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row>
    <row r="57" spans="1:57" x14ac:dyDescent="0.25">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row>
    <row r="58" spans="1:57" x14ac:dyDescent="0.25">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row>
    <row r="59" spans="1:57" x14ac:dyDescent="0.25">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row>
    <row r="60" spans="1:57" x14ac:dyDescent="0.25">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row>
    <row r="61" spans="1:57" x14ac:dyDescent="0.25">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row>
    <row r="62" spans="1:57" x14ac:dyDescent="0.25">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row>
    <row r="63" spans="1:57" x14ac:dyDescent="0.25">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row>
    <row r="64" spans="1:57" x14ac:dyDescent="0.25">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row>
    <row r="65" spans="2:57" x14ac:dyDescent="0.25">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row>
    <row r="66" spans="2:57" x14ac:dyDescent="0.25">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row>
    <row r="67" spans="2:57" x14ac:dyDescent="0.25">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row>
  </sheetData>
  <pageMargins left="0.25" right="0.25" top="0.75" bottom="0.75" header="0.3" footer="0.3"/>
  <pageSetup scale="59" fitToWidth="0" orientation="landscape" r:id="rId1"/>
  <headerFooter differentFirst="1">
    <oddHeader>&amp;L&amp;"Arial,Regular"&amp;12B.: Total Federal TANF and State MOE Expenditures in FY 2024</oddHeader>
    <oddFooter>&amp;CPage &amp;P of &amp;N</oddFooter>
    <firstFooter>&amp;CPage &amp;P of &amp;N</firstFooter>
  </headerFooter>
  <colBreaks count="3" manualBreakCount="3">
    <brk id="13" max="1048575" man="1"/>
    <brk id="25" max="1048575" man="1"/>
    <brk id="37"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8">
    <tabColor theme="0" tint="-0.34998626667073579"/>
    <pageSetUpPr fitToPage="1"/>
  </sheetPr>
  <dimension ref="A1:E56"/>
  <sheetViews>
    <sheetView workbookViewId="0"/>
  </sheetViews>
  <sheetFormatPr defaultRowHeight="15" x14ac:dyDescent="0.25"/>
  <cols>
    <col min="1" max="1" width="39.5703125" customWidth="1"/>
    <col min="2" max="2" width="23.28515625" customWidth="1"/>
    <col min="3" max="3" width="27.7109375" customWidth="1"/>
    <col min="4" max="5" width="23.28515625" customWidth="1"/>
  </cols>
  <sheetData>
    <row r="1" spans="1:5" s="177" customFormat="1" ht="20.100000000000001" customHeight="1" x14ac:dyDescent="0.25">
      <c r="A1" s="187" t="s">
        <v>308</v>
      </c>
      <c r="B1" s="187"/>
      <c r="C1" s="187"/>
      <c r="D1" s="187"/>
      <c r="E1" s="187"/>
    </row>
    <row r="2" spans="1:5" ht="30.75" customHeight="1" x14ac:dyDescent="0.25">
      <c r="A2" s="87" t="s">
        <v>45</v>
      </c>
      <c r="B2" s="88" t="s">
        <v>46</v>
      </c>
      <c r="C2" s="89" t="s">
        <v>47</v>
      </c>
      <c r="D2" s="88" t="s">
        <v>48</v>
      </c>
      <c r="E2" s="89" t="s">
        <v>49</v>
      </c>
    </row>
    <row r="3" spans="1:5" ht="15.75" x14ac:dyDescent="0.25">
      <c r="A3" s="55" t="s">
        <v>50</v>
      </c>
      <c r="B3" s="23">
        <f>'C.1 Federal Expenditures'!$G$12</f>
        <v>39570809.32</v>
      </c>
      <c r="C3" s="23">
        <f>'C.2 State Expenditures'!$G$12</f>
        <v>12349415.460000001</v>
      </c>
      <c r="D3" s="23">
        <f>'B. Total Expenditures'!$G$12</f>
        <v>51920224.780000001</v>
      </c>
      <c r="E3" s="30">
        <f t="shared" ref="E3:E44" si="0">D3/($D$44)</f>
        <v>0.13964947482771978</v>
      </c>
    </row>
    <row r="4" spans="1:5" ht="57.75" x14ac:dyDescent="0.25">
      <c r="A4" s="56" t="s">
        <v>51</v>
      </c>
      <c r="B4" s="23">
        <f>'C.1 Federal Expenditures'!$H$12</f>
        <v>39570809.32</v>
      </c>
      <c r="C4" s="23">
        <f>'C.2 State Expenditures'!$H$12</f>
        <v>6095304.1799999997</v>
      </c>
      <c r="D4" s="23">
        <f>'B. Total Expenditures'!$H$12</f>
        <v>45666113.5</v>
      </c>
      <c r="E4" s="30">
        <f t="shared" si="0"/>
        <v>0.12282783433084443</v>
      </c>
    </row>
    <row r="5" spans="1:5" ht="43.5" x14ac:dyDescent="0.25">
      <c r="A5" s="56" t="s">
        <v>52</v>
      </c>
      <c r="B5" s="23">
        <f>'C.1 Federal Expenditures'!$I$12</f>
        <v>0</v>
      </c>
      <c r="C5" s="23">
        <f>'C.2 State Expenditures'!$I$12</f>
        <v>6254111.29</v>
      </c>
      <c r="D5" s="23">
        <f>'B. Total Expenditures'!$I$12</f>
        <v>6254111.29</v>
      </c>
      <c r="E5" s="30">
        <f t="shared" si="0"/>
        <v>1.6821640523772267E-2</v>
      </c>
    </row>
    <row r="6" spans="1:5" ht="30.75" x14ac:dyDescent="0.25">
      <c r="A6" s="55" t="s">
        <v>53</v>
      </c>
      <c r="B6" s="23">
        <f>'C.1 Federal Expenditures'!$J$12</f>
        <v>0</v>
      </c>
      <c r="C6" s="69"/>
      <c r="D6" s="23">
        <f>'B. Total Expenditures'!$J$12</f>
        <v>0</v>
      </c>
      <c r="E6" s="30">
        <f t="shared" si="0"/>
        <v>0</v>
      </c>
    </row>
    <row r="7" spans="1:5" x14ac:dyDescent="0.25">
      <c r="A7" s="56" t="s">
        <v>54</v>
      </c>
      <c r="B7" s="23">
        <f>'C.1 Federal Expenditures'!$K$12</f>
        <v>0</v>
      </c>
      <c r="C7" s="69"/>
      <c r="D7" s="23">
        <f>'B. Total Expenditures'!$K$12</f>
        <v>0</v>
      </c>
      <c r="E7" s="30">
        <f t="shared" si="0"/>
        <v>0</v>
      </c>
    </row>
    <row r="8" spans="1:5" x14ac:dyDescent="0.25">
      <c r="A8" s="56" t="s">
        <v>55</v>
      </c>
      <c r="B8" s="23">
        <f>'C.1 Federal Expenditures'!$L$12</f>
        <v>0</v>
      </c>
      <c r="C8" s="69"/>
      <c r="D8" s="23">
        <f>'B. Total Expenditures'!$L$12</f>
        <v>0</v>
      </c>
      <c r="E8" s="30">
        <f t="shared" si="0"/>
        <v>0</v>
      </c>
    </row>
    <row r="9" spans="1:5" ht="29.25" x14ac:dyDescent="0.25">
      <c r="A9" s="56" t="s">
        <v>56</v>
      </c>
      <c r="B9" s="23">
        <f>'C.1 Federal Expenditures'!$M$12</f>
        <v>0</v>
      </c>
      <c r="C9" s="69"/>
      <c r="D9" s="23">
        <f>'B. Total Expenditures'!$M$12</f>
        <v>0</v>
      </c>
      <c r="E9" s="30">
        <f t="shared" si="0"/>
        <v>0</v>
      </c>
    </row>
    <row r="10" spans="1:5" ht="30.75" x14ac:dyDescent="0.25">
      <c r="A10" s="55" t="s">
        <v>57</v>
      </c>
      <c r="B10" s="23">
        <f>'C.1 Federal Expenditures'!$N$12</f>
        <v>0</v>
      </c>
      <c r="C10" s="69"/>
      <c r="D10" s="23">
        <f>'B. Total Expenditures'!$N$12</f>
        <v>0</v>
      </c>
      <c r="E10" s="30">
        <f t="shared" si="0"/>
        <v>0</v>
      </c>
    </row>
    <row r="11" spans="1:5" x14ac:dyDescent="0.25">
      <c r="A11" s="56" t="s">
        <v>58</v>
      </c>
      <c r="B11" s="23">
        <f>'C.1 Federal Expenditures'!$O$12</f>
        <v>0</v>
      </c>
      <c r="C11" s="69"/>
      <c r="D11" s="23">
        <f>'B. Total Expenditures'!$O$12</f>
        <v>0</v>
      </c>
      <c r="E11" s="30">
        <f t="shared" si="0"/>
        <v>0</v>
      </c>
    </row>
    <row r="12" spans="1:5" x14ac:dyDescent="0.25">
      <c r="A12" s="56" t="s">
        <v>59</v>
      </c>
      <c r="B12" s="23">
        <f>'C.1 Federal Expenditures'!$P$12</f>
        <v>0</v>
      </c>
      <c r="C12" s="69"/>
      <c r="D12" s="23">
        <f>'B. Total Expenditures'!$P$12</f>
        <v>0</v>
      </c>
      <c r="E12" s="30">
        <f t="shared" si="0"/>
        <v>0</v>
      </c>
    </row>
    <row r="13" spans="1:5" ht="29.25" x14ac:dyDescent="0.25">
      <c r="A13" s="56" t="s">
        <v>60</v>
      </c>
      <c r="B13" s="23">
        <f>'C.1 Federal Expenditures'!$Q$12</f>
        <v>0</v>
      </c>
      <c r="C13" s="69"/>
      <c r="D13" s="23">
        <f>'B. Total Expenditures'!$Q$12</f>
        <v>0</v>
      </c>
      <c r="E13" s="30">
        <f t="shared" si="0"/>
        <v>0</v>
      </c>
    </row>
    <row r="14" spans="1:5" ht="30.75" x14ac:dyDescent="0.25">
      <c r="A14" s="55" t="s">
        <v>61</v>
      </c>
      <c r="B14" s="23">
        <f>'C.1 Federal Expenditures'!$R$12</f>
        <v>28556475.59</v>
      </c>
      <c r="C14" s="23">
        <f>'C.2 State Expenditures'!$R$12</f>
        <v>1529222.17</v>
      </c>
      <c r="D14" s="23">
        <f>'B. Total Expenditures'!$R$12</f>
        <v>30085697.759999998</v>
      </c>
      <c r="E14" s="30">
        <f t="shared" si="0"/>
        <v>8.0921296273507873E-2</v>
      </c>
    </row>
    <row r="15" spans="1:5" x14ac:dyDescent="0.25">
      <c r="A15" s="56" t="s">
        <v>62</v>
      </c>
      <c r="B15" s="23">
        <f>'C.1 Federal Expenditures'!$S$12</f>
        <v>0</v>
      </c>
      <c r="C15" s="23">
        <f>'C.2 State Expenditures'!$S$12</f>
        <v>0</v>
      </c>
      <c r="D15" s="23">
        <f>'B. Total Expenditures'!$S$12</f>
        <v>0</v>
      </c>
      <c r="E15" s="30">
        <f t="shared" si="0"/>
        <v>0</v>
      </c>
    </row>
    <row r="16" spans="1:5" x14ac:dyDescent="0.25">
      <c r="A16" s="56" t="s">
        <v>63</v>
      </c>
      <c r="B16" s="23">
        <f>'C.1 Federal Expenditures'!$T$12</f>
        <v>685017.94</v>
      </c>
      <c r="C16" s="23">
        <f>'C.2 State Expenditures'!$T$12</f>
        <v>0</v>
      </c>
      <c r="D16" s="23">
        <f>'B. Total Expenditures'!$T$12</f>
        <v>685017.94</v>
      </c>
      <c r="E16" s="30">
        <f t="shared" si="0"/>
        <v>1.842488085787645E-3</v>
      </c>
    </row>
    <row r="17" spans="1:5" x14ac:dyDescent="0.25">
      <c r="A17" s="56" t="s">
        <v>64</v>
      </c>
      <c r="B17" s="23">
        <f>'C.1 Federal Expenditures'!$U$12</f>
        <v>27871457.649999999</v>
      </c>
      <c r="C17" s="23">
        <f>'C.2 State Expenditures'!$U$12</f>
        <v>1529222.17</v>
      </c>
      <c r="D17" s="23">
        <f>'B. Total Expenditures'!$U$12</f>
        <v>29400679.82</v>
      </c>
      <c r="E17" s="30">
        <f t="shared" si="0"/>
        <v>7.9078808187720229E-2</v>
      </c>
    </row>
    <row r="18" spans="1:5" ht="15.75" x14ac:dyDescent="0.25">
      <c r="A18" s="55" t="s">
        <v>65</v>
      </c>
      <c r="B18" s="23">
        <f>'C.1 Federal Expenditures'!$V$12</f>
        <v>0</v>
      </c>
      <c r="C18" s="23">
        <f>'C.2 State Expenditures'!$V$12</f>
        <v>0</v>
      </c>
      <c r="D18" s="23">
        <f>'B. Total Expenditures'!$V$12</f>
        <v>0</v>
      </c>
      <c r="E18" s="30">
        <f t="shared" si="0"/>
        <v>0</v>
      </c>
    </row>
    <row r="19" spans="1:5" ht="15.75" x14ac:dyDescent="0.25">
      <c r="A19" s="55" t="s">
        <v>66</v>
      </c>
      <c r="B19" s="23">
        <f>'C.1 Federal Expenditures'!$W$12</f>
        <v>14000000</v>
      </c>
      <c r="C19" s="23">
        <f>'C.2 State Expenditures'!$W$12</f>
        <v>32206079.300000001</v>
      </c>
      <c r="D19" s="23">
        <f>'B. Total Expenditures'!$W$12</f>
        <v>46206079.299999997</v>
      </c>
      <c r="E19" s="30">
        <f t="shared" si="0"/>
        <v>0.12428017666399967</v>
      </c>
    </row>
    <row r="20" spans="1:5" ht="29.25" x14ac:dyDescent="0.25">
      <c r="A20" s="56" t="s">
        <v>67</v>
      </c>
      <c r="B20" s="23">
        <f>'C.1 Federal Expenditures'!$X$12</f>
        <v>14000000</v>
      </c>
      <c r="C20" s="23">
        <f>'C.2 State Expenditures'!$X$12</f>
        <v>32206079.300000001</v>
      </c>
      <c r="D20" s="23">
        <f>'B. Total Expenditures'!$X$12</f>
        <v>46206079.299999997</v>
      </c>
      <c r="E20" s="30">
        <f t="shared" si="0"/>
        <v>0.12428017666399967</v>
      </c>
    </row>
    <row r="21" spans="1:5" x14ac:dyDescent="0.25">
      <c r="A21" s="56" t="s">
        <v>68</v>
      </c>
      <c r="B21" s="23">
        <f>'C.1 Federal Expenditures'!$Y$12</f>
        <v>0</v>
      </c>
      <c r="C21" s="23">
        <f>'C.2 State Expenditures'!$Y$12</f>
        <v>0</v>
      </c>
      <c r="D21" s="23">
        <f>'B. Total Expenditures'!$Y$12</f>
        <v>0</v>
      </c>
      <c r="E21" s="30">
        <f t="shared" si="0"/>
        <v>0</v>
      </c>
    </row>
    <row r="22" spans="1:5" ht="30.75" x14ac:dyDescent="0.25">
      <c r="A22" s="55" t="s">
        <v>69</v>
      </c>
      <c r="B22" s="23">
        <f>'C.1 Federal Expenditures'!$Z$12</f>
        <v>0</v>
      </c>
      <c r="C22" s="23">
        <f>'C.2 State Expenditures'!$Z$12</f>
        <v>0</v>
      </c>
      <c r="D22" s="23">
        <f>'B. Total Expenditures'!$Z$12</f>
        <v>0</v>
      </c>
      <c r="E22" s="30">
        <f t="shared" si="0"/>
        <v>0</v>
      </c>
    </row>
    <row r="23" spans="1:5" ht="30.75" x14ac:dyDescent="0.25">
      <c r="A23" s="55" t="s">
        <v>70</v>
      </c>
      <c r="B23" s="23">
        <f>'C.1 Federal Expenditures'!$AA$12</f>
        <v>0</v>
      </c>
      <c r="C23" s="23">
        <f>'C.2 State Expenditures'!$AA$12</f>
        <v>27922928.280000001</v>
      </c>
      <c r="D23" s="23">
        <f>'B. Total Expenditures'!$AA$12</f>
        <v>27922928.280000001</v>
      </c>
      <c r="E23" s="30">
        <f t="shared" si="0"/>
        <v>7.5104109939373123E-2</v>
      </c>
    </row>
    <row r="24" spans="1:5" ht="30.75" x14ac:dyDescent="0.25">
      <c r="A24" s="55" t="s">
        <v>71</v>
      </c>
      <c r="B24" s="23">
        <f>'C.1 Federal Expenditures'!$AB$12</f>
        <v>0</v>
      </c>
      <c r="C24" s="23">
        <f>'C.2 State Expenditures'!$AB$12</f>
        <v>0</v>
      </c>
      <c r="D24" s="23">
        <f>'B. Total Expenditures'!$AB$12</f>
        <v>0</v>
      </c>
      <c r="E24" s="30">
        <f t="shared" si="0"/>
        <v>0</v>
      </c>
    </row>
    <row r="25" spans="1:5" ht="15.75" x14ac:dyDescent="0.25">
      <c r="A25" s="55" t="s">
        <v>72</v>
      </c>
      <c r="B25" s="23">
        <f>'C.1 Federal Expenditures'!$AC$12</f>
        <v>0</v>
      </c>
      <c r="C25" s="23">
        <f>'C.2 State Expenditures'!$AC$12</f>
        <v>189770463.31999999</v>
      </c>
      <c r="D25" s="23">
        <f>'B. Total Expenditures'!$AC$12</f>
        <v>189770463.31999999</v>
      </c>
      <c r="E25" s="30">
        <f t="shared" si="0"/>
        <v>0.51042432217395839</v>
      </c>
    </row>
    <row r="26" spans="1:5" ht="15.75" x14ac:dyDescent="0.25">
      <c r="A26" s="55" t="s">
        <v>73</v>
      </c>
      <c r="B26" s="23">
        <f>'C.1 Federal Expenditures'!$AD$12</f>
        <v>900308.09</v>
      </c>
      <c r="C26" s="23">
        <f>'C.2 State Expenditures'!$AD$12</f>
        <v>201211.67</v>
      </c>
      <c r="D26" s="23">
        <f>'B. Total Expenditures'!$AD$12</f>
        <v>1101519.76</v>
      </c>
      <c r="E26" s="30">
        <f t="shared" si="0"/>
        <v>2.9627501931696362E-3</v>
      </c>
    </row>
    <row r="27" spans="1:5" s="5" customFormat="1" ht="15.75" x14ac:dyDescent="0.25">
      <c r="A27" s="55" t="s">
        <v>74</v>
      </c>
      <c r="B27" s="23">
        <f>'C.1 Federal Expenditures'!$AE$12</f>
        <v>0</v>
      </c>
      <c r="C27" s="23">
        <f>'C.2 State Expenditures'!$AE$12</f>
        <v>0</v>
      </c>
      <c r="D27" s="23">
        <f>'B. Total Expenditures'!$AE$12</f>
        <v>0</v>
      </c>
      <c r="E27" s="30">
        <f t="shared" si="0"/>
        <v>0</v>
      </c>
    </row>
    <row r="28" spans="1:5" ht="30.75" x14ac:dyDescent="0.25">
      <c r="A28" s="55" t="s">
        <v>75</v>
      </c>
      <c r="B28" s="23">
        <f>'C.1 Federal Expenditures'!$AF$12</f>
        <v>240975.34</v>
      </c>
      <c r="C28" s="23">
        <f>'C.2 State Expenditures'!$AF$12</f>
        <v>0</v>
      </c>
      <c r="D28" s="23">
        <f>'B. Total Expenditures'!$AF$12</f>
        <v>240975.34</v>
      </c>
      <c r="E28" s="30">
        <f t="shared" si="0"/>
        <v>6.4814973009119572E-4</v>
      </c>
    </row>
    <row r="29" spans="1:5" ht="45.75" x14ac:dyDescent="0.25">
      <c r="A29" s="55" t="s">
        <v>76</v>
      </c>
      <c r="B29" s="23">
        <f>'C.1 Federal Expenditures'!$AG$12</f>
        <v>0</v>
      </c>
      <c r="C29" s="23">
        <f>'C.2 State Expenditures'!$AG$12</f>
        <v>0</v>
      </c>
      <c r="D29" s="23">
        <f>'B. Total Expenditures'!$AG$12</f>
        <v>0</v>
      </c>
      <c r="E29" s="30">
        <f t="shared" si="0"/>
        <v>0</v>
      </c>
    </row>
    <row r="30" spans="1:5" ht="15.75" x14ac:dyDescent="0.25">
      <c r="A30" s="55" t="s">
        <v>77</v>
      </c>
      <c r="B30" s="23">
        <f>'C.1 Federal Expenditures'!$AH$12</f>
        <v>0</v>
      </c>
      <c r="C30" s="23">
        <f>'C.2 State Expenditures'!$AH$12</f>
        <v>0</v>
      </c>
      <c r="D30" s="23">
        <f>'B. Total Expenditures'!$AH$12</f>
        <v>0</v>
      </c>
      <c r="E30" s="30">
        <f t="shared" si="0"/>
        <v>0</v>
      </c>
    </row>
    <row r="31" spans="1:5" ht="29.25" x14ac:dyDescent="0.25">
      <c r="A31" s="56" t="s">
        <v>78</v>
      </c>
      <c r="B31" s="23">
        <f>'C.1 Federal Expenditures'!$AI$12</f>
        <v>0</v>
      </c>
      <c r="C31" s="23">
        <f>'C.2 State Expenditures'!$AI$12</f>
        <v>0</v>
      </c>
      <c r="D31" s="23">
        <f>'B. Total Expenditures'!$AI$12</f>
        <v>0</v>
      </c>
      <c r="E31" s="30">
        <f t="shared" si="0"/>
        <v>0</v>
      </c>
    </row>
    <row r="32" spans="1:5" x14ac:dyDescent="0.25">
      <c r="A32" s="56" t="s">
        <v>79</v>
      </c>
      <c r="B32" s="23">
        <f>'C.1 Federal Expenditures'!$AJ$12</f>
        <v>0</v>
      </c>
      <c r="C32" s="23">
        <f>'C.2 State Expenditures'!$AJ$12</f>
        <v>0</v>
      </c>
      <c r="D32" s="23">
        <f>'B. Total Expenditures'!$AJ$12</f>
        <v>0</v>
      </c>
      <c r="E32" s="30">
        <f t="shared" si="0"/>
        <v>0</v>
      </c>
    </row>
    <row r="33" spans="1:5" x14ac:dyDescent="0.25">
      <c r="A33" s="56" t="s">
        <v>80</v>
      </c>
      <c r="B33" s="23">
        <f>'C.1 Federal Expenditures'!$AK$12</f>
        <v>0</v>
      </c>
      <c r="C33" s="23">
        <f>'C.2 State Expenditures'!$AK$12</f>
        <v>0</v>
      </c>
      <c r="D33" s="23">
        <f>'B. Total Expenditures'!$AK$12</f>
        <v>0</v>
      </c>
      <c r="E33" s="30">
        <f t="shared" si="0"/>
        <v>0</v>
      </c>
    </row>
    <row r="34" spans="1:5" ht="15.75" x14ac:dyDescent="0.25">
      <c r="A34" s="55" t="s">
        <v>81</v>
      </c>
      <c r="B34" s="23">
        <f>'C.1 Federal Expenditures'!$AL$12</f>
        <v>0</v>
      </c>
      <c r="C34" s="23">
        <f>'C.2 State Expenditures'!$AL$12</f>
        <v>0</v>
      </c>
      <c r="D34" s="23">
        <f>'B. Total Expenditures'!$AL$12</f>
        <v>0</v>
      </c>
      <c r="E34" s="30">
        <f t="shared" si="0"/>
        <v>0</v>
      </c>
    </row>
    <row r="35" spans="1:5" ht="15.75" x14ac:dyDescent="0.25">
      <c r="A35" s="55" t="s">
        <v>82</v>
      </c>
      <c r="B35" s="23">
        <f>'C.1 Federal Expenditures'!$AM$12</f>
        <v>20618799.969999999</v>
      </c>
      <c r="C35" s="23">
        <f>'C.2 State Expenditures'!$AM$12</f>
        <v>0</v>
      </c>
      <c r="D35" s="23">
        <f>'B. Total Expenditures'!$AM$12</f>
        <v>20618799.969999999</v>
      </c>
      <c r="E35" s="30">
        <f t="shared" si="0"/>
        <v>5.5458245791290738E-2</v>
      </c>
    </row>
    <row r="36" spans="1:5" x14ac:dyDescent="0.25">
      <c r="A36" s="56" t="s">
        <v>83</v>
      </c>
      <c r="B36" s="23">
        <f>'C.1 Federal Expenditures'!$AN$12</f>
        <v>16367625.470000001</v>
      </c>
      <c r="C36" s="23">
        <f>'C.2 State Expenditures'!$AN$12</f>
        <v>0</v>
      </c>
      <c r="D36" s="23">
        <f>'B. Total Expenditures'!$AN$12</f>
        <v>16367625.470000001</v>
      </c>
      <c r="E36" s="30">
        <f t="shared" si="0"/>
        <v>4.4023890704394407E-2</v>
      </c>
    </row>
    <row r="37" spans="1:5" x14ac:dyDescent="0.25">
      <c r="A37" s="56" t="s">
        <v>84</v>
      </c>
      <c r="B37" s="23">
        <f>'C.1 Federal Expenditures'!$AO$12</f>
        <v>3462138.58</v>
      </c>
      <c r="C37" s="23">
        <f>'C.2 State Expenditures'!$AO$12</f>
        <v>0</v>
      </c>
      <c r="D37" s="23">
        <f>'B. Total Expenditures'!$AO$12</f>
        <v>3462138.58</v>
      </c>
      <c r="E37" s="30">
        <f t="shared" si="0"/>
        <v>9.3120905490384036E-3</v>
      </c>
    </row>
    <row r="38" spans="1:5" x14ac:dyDescent="0.25">
      <c r="A38" s="56" t="s">
        <v>85</v>
      </c>
      <c r="B38" s="23">
        <f>'C.1 Federal Expenditures'!$AP$12</f>
        <v>789035.92</v>
      </c>
      <c r="C38" s="23">
        <f>'C.2 State Expenditures'!$AP$12</f>
        <v>0</v>
      </c>
      <c r="D38" s="23">
        <f>'B. Total Expenditures'!$AP$12</f>
        <v>789035.92</v>
      </c>
      <c r="E38" s="30">
        <f t="shared" si="0"/>
        <v>2.1222645378579335E-3</v>
      </c>
    </row>
    <row r="39" spans="1:5" ht="15.75" x14ac:dyDescent="0.25">
      <c r="A39" s="55" t="s">
        <v>86</v>
      </c>
      <c r="B39" s="23">
        <f>'C.1 Federal Expenditures'!$AQ$12</f>
        <v>0</v>
      </c>
      <c r="C39" s="23">
        <f>'C.2 State Expenditures'!$AQ$12</f>
        <v>0</v>
      </c>
      <c r="D39" s="23">
        <f>'B. Total Expenditures'!$AQ$12</f>
        <v>0</v>
      </c>
      <c r="E39" s="30">
        <f t="shared" si="0"/>
        <v>0</v>
      </c>
    </row>
    <row r="40" spans="1:5" ht="15.75" x14ac:dyDescent="0.25">
      <c r="A40" s="49" t="s">
        <v>87</v>
      </c>
      <c r="B40" s="70">
        <f>'C.1 Federal Expenditures'!$AR$12</f>
        <v>103887368.30999999</v>
      </c>
      <c r="C40" s="70">
        <f>'C.2 State Expenditures'!$AR$12</f>
        <v>263979320.19999999</v>
      </c>
      <c r="D40" s="70">
        <f>'B. Total Expenditures'!$AR$12</f>
        <v>367866688.50999999</v>
      </c>
      <c r="E40" s="51">
        <f t="shared" si="0"/>
        <v>0.98944852559311036</v>
      </c>
    </row>
    <row r="41" spans="1:5" ht="15.75" x14ac:dyDescent="0.25">
      <c r="A41" s="55" t="s">
        <v>88</v>
      </c>
      <c r="B41" s="23">
        <f>'C.1 Federal Expenditures'!$C$12</f>
        <v>0</v>
      </c>
      <c r="C41" s="69"/>
      <c r="D41" s="23">
        <f>'B. Total Expenditures'!$C$12</f>
        <v>0</v>
      </c>
      <c r="E41" s="30">
        <f t="shared" si="0"/>
        <v>0</v>
      </c>
    </row>
    <row r="42" spans="1:5" ht="15.75" x14ac:dyDescent="0.25">
      <c r="A42" s="55" t="s">
        <v>89</v>
      </c>
      <c r="B42" s="23">
        <f>'C.1 Federal Expenditures'!$D$12</f>
        <v>3922928.63</v>
      </c>
      <c r="C42" s="69"/>
      <c r="D42" s="23">
        <f>'B. Total Expenditures'!$D$12</f>
        <v>3922928.63</v>
      </c>
      <c r="E42" s="30">
        <f t="shared" si="0"/>
        <v>1.0551474406889619E-2</v>
      </c>
    </row>
    <row r="43" spans="1:5" ht="15.75" x14ac:dyDescent="0.25">
      <c r="A43" s="57" t="s">
        <v>90</v>
      </c>
      <c r="B43" s="70">
        <f>B41+B42</f>
        <v>3922928.63</v>
      </c>
      <c r="C43" s="72"/>
      <c r="D43" s="70">
        <f>D41+D42</f>
        <v>3922928.63</v>
      </c>
      <c r="E43" s="51">
        <f t="shared" si="0"/>
        <v>1.0551474406889619E-2</v>
      </c>
    </row>
    <row r="44" spans="1:5" ht="15.75" x14ac:dyDescent="0.25">
      <c r="A44" s="49" t="s">
        <v>91</v>
      </c>
      <c r="B44" s="50">
        <f>SUM(B41,B42, B3,B6,B10,B14,B18,B19,B22,B23,B24,B25,B26,B27,B28,B29,B30,B34,B35, B39)</f>
        <v>107810296.94000001</v>
      </c>
      <c r="C44" s="50">
        <f>SUM(C41,C42,C3,C6,C10,C14,C18,C19,C22,C23,C24,C25,C26,C27,C28,C29,C30,C34,C35, C39)</f>
        <v>263979320.19999999</v>
      </c>
      <c r="D44" s="50">
        <f>B44+C44</f>
        <v>371789617.13999999</v>
      </c>
      <c r="E44" s="51">
        <f t="shared" si="0"/>
        <v>1</v>
      </c>
    </row>
    <row r="45" spans="1:5" ht="15.75" x14ac:dyDescent="0.25">
      <c r="A45" s="55" t="s">
        <v>92</v>
      </c>
      <c r="B45" s="23">
        <f>'C.1 Federal Expenditures'!$AS$12</f>
        <v>0</v>
      </c>
      <c r="C45" s="69"/>
      <c r="D45" s="23">
        <f>'B. Total Expenditures'!$AS$12</f>
        <v>0</v>
      </c>
      <c r="E45" s="71"/>
    </row>
    <row r="46" spans="1:5" ht="15.75" x14ac:dyDescent="0.25">
      <c r="A46" s="55" t="s">
        <v>93</v>
      </c>
      <c r="B46" s="23">
        <f>'C.1 Federal Expenditures'!$AT$12</f>
        <v>58694975.399999999</v>
      </c>
      <c r="C46" s="69"/>
      <c r="D46" s="23">
        <f>'B. Total Expenditures'!$AT$12</f>
        <v>58694975.399999999</v>
      </c>
      <c r="E46" s="71"/>
    </row>
    <row r="47" spans="1:5" x14ac:dyDescent="0.25">
      <c r="A47" s="61"/>
      <c r="B47" s="5"/>
      <c r="C47" s="5"/>
      <c r="D47" s="5"/>
      <c r="E47" s="5"/>
    </row>
    <row r="48" spans="1:5" x14ac:dyDescent="0.25">
      <c r="A48" s="61"/>
      <c r="B48" s="5"/>
      <c r="C48" s="5"/>
      <c r="D48" s="5"/>
      <c r="E48" s="5"/>
    </row>
    <row r="49" spans="1:1" x14ac:dyDescent="0.25">
      <c r="A49" s="61"/>
    </row>
    <row r="50" spans="1:1" x14ac:dyDescent="0.25">
      <c r="A50" s="61"/>
    </row>
    <row r="51" spans="1:1" x14ac:dyDescent="0.25">
      <c r="A51" s="61"/>
    </row>
    <row r="52" spans="1:1" x14ac:dyDescent="0.25">
      <c r="A52" s="61"/>
    </row>
    <row r="53" spans="1:1" x14ac:dyDescent="0.25">
      <c r="A53" s="61"/>
    </row>
    <row r="54" spans="1:1" x14ac:dyDescent="0.25">
      <c r="A54" s="61"/>
    </row>
    <row r="55" spans="1:1" x14ac:dyDescent="0.25">
      <c r="A55" s="61"/>
    </row>
    <row r="56" spans="1:1" x14ac:dyDescent="0.25">
      <c r="A56" s="61"/>
    </row>
  </sheetData>
  <pageMargins left="0.25" right="0.25" top="0.75" bottom="0.75" header="0.3" footer="0.3"/>
  <pageSetup scale="71"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2">
    <pageSetUpPr fitToPage="1"/>
  </sheetPr>
  <dimension ref="A1:Q67"/>
  <sheetViews>
    <sheetView zoomScale="90" zoomScaleNormal="90" workbookViewId="0"/>
  </sheetViews>
  <sheetFormatPr defaultColWidth="9.140625" defaultRowHeight="15" x14ac:dyDescent="0.25"/>
  <cols>
    <col min="1" max="1" width="21" style="26" customWidth="1"/>
    <col min="2" max="2" width="15.7109375" style="26" customWidth="1"/>
    <col min="3" max="3" width="14.5703125" customWidth="1"/>
    <col min="4" max="4" width="15.28515625" style="5" customWidth="1"/>
    <col min="5" max="5" width="15.140625" hidden="1" customWidth="1"/>
    <col min="6" max="6" width="14.85546875" hidden="1" customWidth="1"/>
    <col min="7" max="7" width="13.5703125" style="1" hidden="1" customWidth="1"/>
    <col min="8" max="8" width="13.5703125" style="5" hidden="1" customWidth="1"/>
    <col min="9" max="9" width="22.140625" style="5" customWidth="1"/>
    <col min="10" max="10" width="12" style="26" customWidth="1"/>
    <col min="11" max="11" width="13.85546875" customWidth="1"/>
    <col min="12" max="12" width="13.140625" style="5" customWidth="1"/>
    <col min="13" max="13" width="13.5703125" hidden="1" customWidth="1"/>
    <col min="14" max="14" width="13.42578125" hidden="1" customWidth="1"/>
    <col min="15" max="15" width="10.140625" style="1" hidden="1" customWidth="1"/>
    <col min="16" max="16" width="11.7109375" style="5" hidden="1" customWidth="1"/>
    <col min="17" max="16384" width="9.140625" style="26"/>
  </cols>
  <sheetData>
    <row r="1" spans="1:17" s="195" customFormat="1" ht="15" customHeight="1" x14ac:dyDescent="0.25">
      <c r="A1" s="204" t="s">
        <v>362</v>
      </c>
      <c r="B1" s="194"/>
      <c r="C1" s="177"/>
      <c r="D1" s="177"/>
      <c r="F1" s="177"/>
      <c r="J1" s="194"/>
      <c r="K1" s="177"/>
      <c r="L1" s="177"/>
      <c r="N1" s="177"/>
    </row>
    <row r="2" spans="1:17" s="200" customFormat="1" x14ac:dyDescent="0.25">
      <c r="A2" s="140"/>
      <c r="B2" s="201" t="s">
        <v>363</v>
      </c>
      <c r="C2" s="201"/>
      <c r="D2" s="201"/>
      <c r="E2" s="201"/>
      <c r="F2" s="201"/>
      <c r="G2" s="201"/>
      <c r="H2" s="201"/>
      <c r="I2" s="206"/>
      <c r="J2" s="201" t="s">
        <v>364</v>
      </c>
      <c r="K2" s="201"/>
      <c r="L2" s="201"/>
      <c r="M2" s="201"/>
      <c r="N2" s="201"/>
      <c r="O2" s="201"/>
      <c r="P2" s="201"/>
      <c r="Q2" s="199"/>
    </row>
    <row r="3" spans="1:17" ht="30.75" customHeight="1" x14ac:dyDescent="0.25">
      <c r="A3" s="94" t="s">
        <v>110</v>
      </c>
      <c r="B3" s="205" t="s">
        <v>365</v>
      </c>
      <c r="C3" s="205" t="s">
        <v>366</v>
      </c>
      <c r="D3" s="205" t="s">
        <v>239</v>
      </c>
      <c r="E3" s="216" t="s">
        <v>367</v>
      </c>
      <c r="F3" s="216" t="s">
        <v>368</v>
      </c>
      <c r="G3" s="216" t="s">
        <v>369</v>
      </c>
      <c r="H3" s="216" t="s">
        <v>370</v>
      </c>
      <c r="I3" s="94" t="s">
        <v>110</v>
      </c>
      <c r="J3" s="205" t="s">
        <v>365</v>
      </c>
      <c r="K3" s="205" t="s">
        <v>366</v>
      </c>
      <c r="L3" s="205" t="s">
        <v>239</v>
      </c>
      <c r="M3" s="216" t="s">
        <v>367</v>
      </c>
      <c r="N3" s="216" t="s">
        <v>368</v>
      </c>
      <c r="O3" s="216" t="s">
        <v>369</v>
      </c>
      <c r="P3" s="216" t="s">
        <v>370</v>
      </c>
    </row>
    <row r="4" spans="1:17" x14ac:dyDescent="0.25">
      <c r="A4" s="32" t="s">
        <v>114</v>
      </c>
      <c r="B4" s="39">
        <f t="shared" ref="B4:B55" si="0">C4+D4</f>
        <v>330860300.24000001</v>
      </c>
      <c r="C4" s="39">
        <f>E4+H4</f>
        <v>112952098.07000001</v>
      </c>
      <c r="D4" s="39">
        <f>G4+F4</f>
        <v>217908202.17000002</v>
      </c>
      <c r="E4" s="39">
        <v>112952098.07000001</v>
      </c>
      <c r="F4" s="39">
        <v>214509732.15000001</v>
      </c>
      <c r="G4" s="39">
        <v>3398470.02</v>
      </c>
      <c r="H4" s="39">
        <v>0</v>
      </c>
      <c r="I4" s="32" t="s">
        <v>114</v>
      </c>
      <c r="J4" s="39">
        <f t="shared" ref="J4:J55" si="1">K4+L4</f>
        <v>3345456.19</v>
      </c>
      <c r="K4" s="39">
        <f>M4+P4</f>
        <v>2100000</v>
      </c>
      <c r="L4" s="39">
        <f>O4+N4</f>
        <v>1245456.19</v>
      </c>
      <c r="M4" s="39">
        <v>2100000</v>
      </c>
      <c r="N4" s="39">
        <v>1245456.19</v>
      </c>
      <c r="O4" s="211">
        <v>0</v>
      </c>
      <c r="P4" s="211">
        <v>0</v>
      </c>
    </row>
    <row r="5" spans="1:17" x14ac:dyDescent="0.25">
      <c r="A5" s="33" t="s">
        <v>115</v>
      </c>
      <c r="B5" s="39">
        <f t="shared" si="0"/>
        <v>0</v>
      </c>
      <c r="C5" s="39">
        <f>E5+H5</f>
        <v>0</v>
      </c>
      <c r="D5" s="39">
        <f t="shared" ref="D5:D55" si="2">G5+F5</f>
        <v>0</v>
      </c>
      <c r="E5" s="39">
        <v>0</v>
      </c>
      <c r="F5" s="39">
        <v>0</v>
      </c>
      <c r="G5" s="39">
        <v>0</v>
      </c>
      <c r="H5" s="39">
        <v>0</v>
      </c>
      <c r="I5" s="33" t="s">
        <v>115</v>
      </c>
      <c r="J5" s="39">
        <f t="shared" si="1"/>
        <v>0</v>
      </c>
      <c r="K5" s="39">
        <f t="shared" ref="K5:K55" si="3">M5+P5</f>
        <v>0</v>
      </c>
      <c r="L5" s="39">
        <f t="shared" ref="L5:L55" si="4">O5+N5</f>
        <v>0</v>
      </c>
      <c r="M5" s="39">
        <v>0</v>
      </c>
      <c r="N5" s="39">
        <v>0</v>
      </c>
      <c r="O5" s="39">
        <v>0</v>
      </c>
      <c r="P5" s="39">
        <v>0</v>
      </c>
    </row>
    <row r="6" spans="1:17" x14ac:dyDescent="0.25">
      <c r="A6" s="33" t="s">
        <v>116</v>
      </c>
      <c r="B6" s="39">
        <f t="shared" si="0"/>
        <v>0</v>
      </c>
      <c r="C6" s="39">
        <f t="shared" ref="C6:C55" si="5">E6+H6</f>
        <v>0</v>
      </c>
      <c r="D6" s="39">
        <f t="shared" si="2"/>
        <v>0</v>
      </c>
      <c r="E6" s="39">
        <v>0</v>
      </c>
      <c r="F6" s="39">
        <v>0</v>
      </c>
      <c r="G6" s="39">
        <v>0</v>
      </c>
      <c r="H6" s="39">
        <v>0</v>
      </c>
      <c r="I6" s="33" t="s">
        <v>116</v>
      </c>
      <c r="J6" s="39">
        <f t="shared" si="1"/>
        <v>0</v>
      </c>
      <c r="K6" s="39">
        <f t="shared" si="3"/>
        <v>0</v>
      </c>
      <c r="L6" s="39">
        <f t="shared" si="4"/>
        <v>0</v>
      </c>
      <c r="M6" s="39">
        <v>0</v>
      </c>
      <c r="N6" s="39">
        <v>0</v>
      </c>
      <c r="O6" s="39">
        <v>0</v>
      </c>
      <c r="P6" s="39">
        <v>0</v>
      </c>
    </row>
    <row r="7" spans="1:17" x14ac:dyDescent="0.25">
      <c r="A7" s="33" t="s">
        <v>117</v>
      </c>
      <c r="B7" s="39">
        <f t="shared" si="0"/>
        <v>0</v>
      </c>
      <c r="C7" s="39">
        <f t="shared" si="5"/>
        <v>0</v>
      </c>
      <c r="D7" s="39">
        <f t="shared" si="2"/>
        <v>0</v>
      </c>
      <c r="E7" s="39">
        <v>0</v>
      </c>
      <c r="F7" s="39">
        <v>0</v>
      </c>
      <c r="G7" s="39">
        <v>0</v>
      </c>
      <c r="H7" s="39">
        <v>0</v>
      </c>
      <c r="I7" s="33" t="s">
        <v>117</v>
      </c>
      <c r="J7" s="39">
        <f t="shared" si="1"/>
        <v>0</v>
      </c>
      <c r="K7" s="39">
        <f t="shared" si="3"/>
        <v>0</v>
      </c>
      <c r="L7" s="39">
        <f t="shared" si="4"/>
        <v>0</v>
      </c>
      <c r="M7" s="39">
        <v>0</v>
      </c>
      <c r="N7" s="39">
        <v>0</v>
      </c>
      <c r="O7" s="39">
        <v>0</v>
      </c>
      <c r="P7" s="39">
        <v>0</v>
      </c>
    </row>
    <row r="8" spans="1:17" x14ac:dyDescent="0.25">
      <c r="A8" s="33" t="s">
        <v>118</v>
      </c>
      <c r="B8" s="39">
        <f t="shared" si="0"/>
        <v>0</v>
      </c>
      <c r="C8" s="39">
        <f t="shared" si="5"/>
        <v>0</v>
      </c>
      <c r="D8" s="39">
        <f t="shared" si="2"/>
        <v>0</v>
      </c>
      <c r="E8" s="39">
        <v>0</v>
      </c>
      <c r="F8" s="39">
        <v>0</v>
      </c>
      <c r="G8" s="39">
        <v>0</v>
      </c>
      <c r="H8" s="39">
        <v>0</v>
      </c>
      <c r="I8" s="33" t="s">
        <v>118</v>
      </c>
      <c r="J8" s="39">
        <f t="shared" si="1"/>
        <v>0</v>
      </c>
      <c r="K8" s="39">
        <f t="shared" si="3"/>
        <v>0</v>
      </c>
      <c r="L8" s="39">
        <f t="shared" si="4"/>
        <v>0</v>
      </c>
      <c r="M8" s="39">
        <v>0</v>
      </c>
      <c r="N8" s="39">
        <v>0</v>
      </c>
      <c r="O8" s="39">
        <v>0</v>
      </c>
      <c r="P8" s="39">
        <v>0</v>
      </c>
    </row>
    <row r="9" spans="1:17" x14ac:dyDescent="0.25">
      <c r="A9" s="33" t="s">
        <v>119</v>
      </c>
      <c r="B9" s="39">
        <f t="shared" si="0"/>
        <v>307854206.79000002</v>
      </c>
      <c r="C9" s="39">
        <f t="shared" si="5"/>
        <v>99042819.120000005</v>
      </c>
      <c r="D9" s="39">
        <f t="shared" si="2"/>
        <v>208811387.67000002</v>
      </c>
      <c r="E9" s="39">
        <v>99042819.120000005</v>
      </c>
      <c r="F9" s="39">
        <v>208737639.96000001</v>
      </c>
      <c r="G9" s="39">
        <v>73747.710000000006</v>
      </c>
      <c r="H9" s="39">
        <v>0</v>
      </c>
      <c r="I9" s="33" t="s">
        <v>119</v>
      </c>
      <c r="J9" s="39">
        <f t="shared" si="1"/>
        <v>0</v>
      </c>
      <c r="K9" s="39">
        <f t="shared" si="3"/>
        <v>0</v>
      </c>
      <c r="L9" s="39">
        <f t="shared" si="4"/>
        <v>0</v>
      </c>
      <c r="M9" s="39">
        <v>0</v>
      </c>
      <c r="N9" s="39">
        <v>0</v>
      </c>
      <c r="O9" s="39">
        <v>0</v>
      </c>
      <c r="P9" s="39">
        <v>0</v>
      </c>
    </row>
    <row r="10" spans="1:17" x14ac:dyDescent="0.25">
      <c r="A10" s="33" t="s">
        <v>120</v>
      </c>
      <c r="B10" s="39">
        <f t="shared" si="0"/>
        <v>3479314.04</v>
      </c>
      <c r="C10" s="39">
        <f t="shared" si="5"/>
        <v>3479314.04</v>
      </c>
      <c r="D10" s="39">
        <f t="shared" si="2"/>
        <v>0</v>
      </c>
      <c r="E10" s="39">
        <v>3479314.04</v>
      </c>
      <c r="F10" s="39">
        <v>0</v>
      </c>
      <c r="G10" s="39">
        <v>0</v>
      </c>
      <c r="H10" s="39">
        <v>0</v>
      </c>
      <c r="I10" s="33" t="s">
        <v>120</v>
      </c>
      <c r="J10" s="39">
        <f t="shared" si="1"/>
        <v>0</v>
      </c>
      <c r="K10" s="39">
        <f t="shared" si="3"/>
        <v>0</v>
      </c>
      <c r="L10" s="39">
        <f t="shared" si="4"/>
        <v>0</v>
      </c>
      <c r="M10" s="39">
        <v>0</v>
      </c>
      <c r="N10" s="39">
        <v>0</v>
      </c>
      <c r="O10" s="39">
        <v>0</v>
      </c>
      <c r="P10" s="39">
        <v>0</v>
      </c>
    </row>
    <row r="11" spans="1:17" x14ac:dyDescent="0.25">
      <c r="A11" s="33" t="s">
        <v>121</v>
      </c>
      <c r="B11" s="39">
        <f t="shared" si="0"/>
        <v>3324722.31</v>
      </c>
      <c r="C11" s="39">
        <f t="shared" si="5"/>
        <v>0</v>
      </c>
      <c r="D11" s="39">
        <f t="shared" si="2"/>
        <v>3324722.31</v>
      </c>
      <c r="E11" s="39">
        <v>0</v>
      </c>
      <c r="F11" s="39">
        <v>0</v>
      </c>
      <c r="G11" s="39">
        <v>3324722.31</v>
      </c>
      <c r="H11" s="39">
        <v>0</v>
      </c>
      <c r="I11" s="33" t="s">
        <v>121</v>
      </c>
      <c r="J11" s="39">
        <f t="shared" si="1"/>
        <v>0</v>
      </c>
      <c r="K11" s="39">
        <f t="shared" si="3"/>
        <v>0</v>
      </c>
      <c r="L11" s="39">
        <f t="shared" si="4"/>
        <v>0</v>
      </c>
      <c r="M11" s="39">
        <v>0</v>
      </c>
      <c r="N11" s="39">
        <v>0</v>
      </c>
      <c r="O11" s="39">
        <v>0</v>
      </c>
      <c r="P11" s="39">
        <v>0</v>
      </c>
    </row>
    <row r="12" spans="1:17" x14ac:dyDescent="0.25">
      <c r="A12" s="33" t="s">
        <v>122</v>
      </c>
      <c r="B12" s="39">
        <f t="shared" si="0"/>
        <v>0</v>
      </c>
      <c r="C12" s="39">
        <f t="shared" si="5"/>
        <v>0</v>
      </c>
      <c r="D12" s="39">
        <f t="shared" si="2"/>
        <v>0</v>
      </c>
      <c r="E12" s="39">
        <v>0</v>
      </c>
      <c r="F12" s="39">
        <v>0</v>
      </c>
      <c r="G12" s="39">
        <v>0</v>
      </c>
      <c r="H12" s="39">
        <v>0</v>
      </c>
      <c r="I12" s="33" t="s">
        <v>122</v>
      </c>
      <c r="J12" s="39">
        <f t="shared" si="1"/>
        <v>0</v>
      </c>
      <c r="K12" s="39">
        <f t="shared" si="3"/>
        <v>0</v>
      </c>
      <c r="L12" s="39">
        <f t="shared" si="4"/>
        <v>0</v>
      </c>
      <c r="M12" s="39">
        <v>0</v>
      </c>
      <c r="N12" s="39">
        <v>0</v>
      </c>
      <c r="O12" s="39">
        <v>0</v>
      </c>
      <c r="P12" s="39">
        <v>0</v>
      </c>
    </row>
    <row r="13" spans="1:17" x14ac:dyDescent="0.25">
      <c r="A13" s="33" t="s">
        <v>231</v>
      </c>
      <c r="B13" s="39">
        <f t="shared" si="0"/>
        <v>0</v>
      </c>
      <c r="C13" s="39">
        <f t="shared" si="5"/>
        <v>0</v>
      </c>
      <c r="D13" s="39">
        <f t="shared" si="2"/>
        <v>0</v>
      </c>
      <c r="E13" s="39">
        <v>0</v>
      </c>
      <c r="F13" s="39">
        <v>0</v>
      </c>
      <c r="G13" s="39">
        <v>0</v>
      </c>
      <c r="H13" s="39">
        <v>0</v>
      </c>
      <c r="I13" s="33" t="s">
        <v>231</v>
      </c>
      <c r="J13" s="39">
        <f t="shared" si="1"/>
        <v>0</v>
      </c>
      <c r="K13" s="39">
        <f t="shared" si="3"/>
        <v>0</v>
      </c>
      <c r="L13" s="39">
        <f t="shared" si="4"/>
        <v>0</v>
      </c>
      <c r="M13" s="39">
        <v>0</v>
      </c>
      <c r="N13" s="39">
        <v>0</v>
      </c>
      <c r="O13" s="39">
        <v>0</v>
      </c>
      <c r="P13" s="39">
        <v>0</v>
      </c>
    </row>
    <row r="14" spans="1:17" x14ac:dyDescent="0.25">
      <c r="A14" s="33" t="s">
        <v>124</v>
      </c>
      <c r="B14" s="39">
        <f t="shared" si="0"/>
        <v>0</v>
      </c>
      <c r="C14" s="39">
        <f t="shared" si="5"/>
        <v>0</v>
      </c>
      <c r="D14" s="39">
        <f t="shared" si="2"/>
        <v>0</v>
      </c>
      <c r="E14" s="39">
        <v>0</v>
      </c>
      <c r="F14" s="39">
        <v>0</v>
      </c>
      <c r="G14" s="39">
        <v>0</v>
      </c>
      <c r="H14" s="39">
        <v>0</v>
      </c>
      <c r="I14" s="33" t="s">
        <v>124</v>
      </c>
      <c r="J14" s="39">
        <f t="shared" si="1"/>
        <v>0</v>
      </c>
      <c r="K14" s="39">
        <f t="shared" si="3"/>
        <v>0</v>
      </c>
      <c r="L14" s="39">
        <f t="shared" si="4"/>
        <v>0</v>
      </c>
      <c r="M14" s="39">
        <v>0</v>
      </c>
      <c r="N14" s="39">
        <v>0</v>
      </c>
      <c r="O14" s="39">
        <v>0</v>
      </c>
      <c r="P14" s="39">
        <v>0</v>
      </c>
    </row>
    <row r="15" spans="1:17" x14ac:dyDescent="0.25">
      <c r="A15" s="33" t="s">
        <v>125</v>
      </c>
      <c r="B15" s="39">
        <f t="shared" si="0"/>
        <v>0</v>
      </c>
      <c r="C15" s="39">
        <f t="shared" si="5"/>
        <v>0</v>
      </c>
      <c r="D15" s="39">
        <f t="shared" si="2"/>
        <v>0</v>
      </c>
      <c r="E15" s="39">
        <v>0</v>
      </c>
      <c r="F15" s="39">
        <v>0</v>
      </c>
      <c r="G15" s="39">
        <v>0</v>
      </c>
      <c r="H15" s="39">
        <v>0</v>
      </c>
      <c r="I15" s="33" t="s">
        <v>125</v>
      </c>
      <c r="J15" s="39">
        <f t="shared" si="1"/>
        <v>0</v>
      </c>
      <c r="K15" s="39">
        <f t="shared" si="3"/>
        <v>0</v>
      </c>
      <c r="L15" s="39">
        <f t="shared" si="4"/>
        <v>0</v>
      </c>
      <c r="M15" s="39">
        <v>0</v>
      </c>
      <c r="N15" s="39">
        <v>0</v>
      </c>
      <c r="O15" s="39">
        <v>0</v>
      </c>
      <c r="P15" s="39">
        <v>0</v>
      </c>
    </row>
    <row r="16" spans="1:17" x14ac:dyDescent="0.25">
      <c r="A16" s="33" t="s">
        <v>126</v>
      </c>
      <c r="B16" s="39">
        <f t="shared" si="0"/>
        <v>0</v>
      </c>
      <c r="C16" s="39">
        <f t="shared" si="5"/>
        <v>0</v>
      </c>
      <c r="D16" s="39">
        <f t="shared" si="2"/>
        <v>0</v>
      </c>
      <c r="E16" s="39">
        <v>0</v>
      </c>
      <c r="F16" s="39">
        <v>0</v>
      </c>
      <c r="G16" s="39">
        <v>0</v>
      </c>
      <c r="H16" s="39">
        <v>0</v>
      </c>
      <c r="I16" s="33" t="s">
        <v>126</v>
      </c>
      <c r="J16" s="39">
        <f t="shared" si="1"/>
        <v>0</v>
      </c>
      <c r="K16" s="39">
        <f t="shared" si="3"/>
        <v>0</v>
      </c>
      <c r="L16" s="39">
        <f t="shared" si="4"/>
        <v>0</v>
      </c>
      <c r="M16" s="39">
        <v>0</v>
      </c>
      <c r="N16" s="39">
        <v>0</v>
      </c>
      <c r="O16" s="39">
        <v>0</v>
      </c>
      <c r="P16" s="39">
        <v>0</v>
      </c>
    </row>
    <row r="17" spans="1:16" x14ac:dyDescent="0.25">
      <c r="A17" s="33" t="s">
        <v>127</v>
      </c>
      <c r="B17" s="39">
        <f t="shared" si="0"/>
        <v>5164</v>
      </c>
      <c r="C17" s="39">
        <f t="shared" si="5"/>
        <v>0</v>
      </c>
      <c r="D17" s="39">
        <f t="shared" si="2"/>
        <v>5164</v>
      </c>
      <c r="E17" s="39">
        <v>0</v>
      </c>
      <c r="F17" s="39">
        <v>5164</v>
      </c>
      <c r="G17" s="39">
        <v>0</v>
      </c>
      <c r="H17" s="39">
        <v>0</v>
      </c>
      <c r="I17" s="33" t="s">
        <v>127</v>
      </c>
      <c r="J17" s="39">
        <f t="shared" si="1"/>
        <v>0</v>
      </c>
      <c r="K17" s="39">
        <f t="shared" si="3"/>
        <v>0</v>
      </c>
      <c r="L17" s="39">
        <f t="shared" si="4"/>
        <v>0</v>
      </c>
      <c r="M17" s="39">
        <v>0</v>
      </c>
      <c r="N17" s="39">
        <v>0</v>
      </c>
      <c r="O17" s="39">
        <v>0</v>
      </c>
      <c r="P17" s="39">
        <v>0</v>
      </c>
    </row>
    <row r="18" spans="1:16" x14ac:dyDescent="0.25">
      <c r="A18" s="33" t="s">
        <v>128</v>
      </c>
      <c r="B18" s="39">
        <f t="shared" si="0"/>
        <v>0</v>
      </c>
      <c r="C18" s="39">
        <f t="shared" si="5"/>
        <v>0</v>
      </c>
      <c r="D18" s="39">
        <f t="shared" si="2"/>
        <v>0</v>
      </c>
      <c r="E18" s="39">
        <v>0</v>
      </c>
      <c r="F18" s="39">
        <v>0</v>
      </c>
      <c r="G18" s="39">
        <v>0</v>
      </c>
      <c r="H18" s="39">
        <v>0</v>
      </c>
      <c r="I18" s="33" t="s">
        <v>128</v>
      </c>
      <c r="J18" s="39">
        <f t="shared" si="1"/>
        <v>0</v>
      </c>
      <c r="K18" s="39">
        <f t="shared" si="3"/>
        <v>0</v>
      </c>
      <c r="L18" s="39">
        <f t="shared" si="4"/>
        <v>0</v>
      </c>
      <c r="M18" s="39">
        <v>0</v>
      </c>
      <c r="N18" s="39">
        <v>0</v>
      </c>
      <c r="O18" s="39">
        <v>0</v>
      </c>
      <c r="P18" s="39">
        <v>0</v>
      </c>
    </row>
    <row r="19" spans="1:16" x14ac:dyDescent="0.25">
      <c r="A19" s="33" t="s">
        <v>129</v>
      </c>
      <c r="B19" s="39">
        <f t="shared" si="0"/>
        <v>0</v>
      </c>
      <c r="C19" s="39">
        <f t="shared" si="5"/>
        <v>0</v>
      </c>
      <c r="D19" s="39">
        <f t="shared" si="2"/>
        <v>0</v>
      </c>
      <c r="E19" s="39">
        <v>0</v>
      </c>
      <c r="F19" s="39">
        <v>0</v>
      </c>
      <c r="G19" s="39">
        <v>0</v>
      </c>
      <c r="H19" s="39">
        <v>0</v>
      </c>
      <c r="I19" s="33" t="s">
        <v>129</v>
      </c>
      <c r="J19" s="39">
        <f t="shared" si="1"/>
        <v>0</v>
      </c>
      <c r="K19" s="39">
        <f t="shared" si="3"/>
        <v>0</v>
      </c>
      <c r="L19" s="39">
        <f t="shared" si="4"/>
        <v>0</v>
      </c>
      <c r="M19" s="39">
        <v>0</v>
      </c>
      <c r="N19" s="39">
        <v>0</v>
      </c>
      <c r="O19" s="39">
        <v>0</v>
      </c>
      <c r="P19" s="39">
        <v>0</v>
      </c>
    </row>
    <row r="20" spans="1:16" x14ac:dyDescent="0.25">
      <c r="A20" s="33" t="s">
        <v>130</v>
      </c>
      <c r="B20" s="39">
        <f t="shared" si="0"/>
        <v>0</v>
      </c>
      <c r="C20" s="39">
        <f t="shared" si="5"/>
        <v>0</v>
      </c>
      <c r="D20" s="39">
        <f t="shared" si="2"/>
        <v>0</v>
      </c>
      <c r="E20" s="39">
        <v>0</v>
      </c>
      <c r="F20" s="39">
        <v>0</v>
      </c>
      <c r="G20" s="39">
        <v>0</v>
      </c>
      <c r="H20" s="39">
        <v>0</v>
      </c>
      <c r="I20" s="33" t="s">
        <v>130</v>
      </c>
      <c r="J20" s="39">
        <f t="shared" si="1"/>
        <v>0</v>
      </c>
      <c r="K20" s="39">
        <f t="shared" si="3"/>
        <v>0</v>
      </c>
      <c r="L20" s="39">
        <f t="shared" si="4"/>
        <v>0</v>
      </c>
      <c r="M20" s="39">
        <v>0</v>
      </c>
      <c r="N20" s="39">
        <v>0</v>
      </c>
      <c r="O20" s="39">
        <v>0</v>
      </c>
      <c r="P20" s="39">
        <v>0</v>
      </c>
    </row>
    <row r="21" spans="1:16" x14ac:dyDescent="0.25">
      <c r="A21" s="33" t="s">
        <v>232</v>
      </c>
      <c r="B21" s="39">
        <f t="shared" si="0"/>
        <v>261584.29</v>
      </c>
      <c r="C21" s="39">
        <f t="shared" si="5"/>
        <v>261584.29</v>
      </c>
      <c r="D21" s="39">
        <f t="shared" si="2"/>
        <v>0</v>
      </c>
      <c r="E21" s="39">
        <v>261584.29</v>
      </c>
      <c r="F21" s="39">
        <v>0</v>
      </c>
      <c r="G21" s="39">
        <v>0</v>
      </c>
      <c r="H21" s="39">
        <v>0</v>
      </c>
      <c r="I21" s="33" t="s">
        <v>232</v>
      </c>
      <c r="J21" s="39">
        <f t="shared" si="1"/>
        <v>0</v>
      </c>
      <c r="K21" s="39">
        <f t="shared" si="3"/>
        <v>0</v>
      </c>
      <c r="L21" s="39">
        <f t="shared" si="4"/>
        <v>0</v>
      </c>
      <c r="M21" s="39">
        <v>0</v>
      </c>
      <c r="N21" s="39">
        <v>0</v>
      </c>
      <c r="O21" s="39">
        <v>0</v>
      </c>
      <c r="P21" s="39">
        <v>0</v>
      </c>
    </row>
    <row r="22" spans="1:16" x14ac:dyDescent="0.25">
      <c r="A22" s="33" t="s">
        <v>132</v>
      </c>
      <c r="B22" s="39">
        <f t="shared" si="0"/>
        <v>3297.6800000000003</v>
      </c>
      <c r="C22" s="39">
        <f t="shared" si="5"/>
        <v>3297.6800000000003</v>
      </c>
      <c r="D22" s="39">
        <f t="shared" si="2"/>
        <v>0</v>
      </c>
      <c r="E22" s="39">
        <v>3297.6800000000003</v>
      </c>
      <c r="F22" s="39">
        <v>0</v>
      </c>
      <c r="G22" s="39">
        <v>0</v>
      </c>
      <c r="H22" s="39">
        <v>0</v>
      </c>
      <c r="I22" s="33" t="s">
        <v>132</v>
      </c>
      <c r="J22" s="39">
        <f t="shared" si="1"/>
        <v>0</v>
      </c>
      <c r="K22" s="39">
        <f t="shared" si="3"/>
        <v>0</v>
      </c>
      <c r="L22" s="39">
        <f t="shared" si="4"/>
        <v>0</v>
      </c>
      <c r="M22" s="39">
        <v>0</v>
      </c>
      <c r="N22" s="39">
        <v>0</v>
      </c>
      <c r="O22" s="39">
        <v>0</v>
      </c>
      <c r="P22" s="39">
        <v>0</v>
      </c>
    </row>
    <row r="23" spans="1:16" x14ac:dyDescent="0.25">
      <c r="A23" s="33" t="s">
        <v>233</v>
      </c>
      <c r="B23" s="39">
        <f t="shared" si="0"/>
        <v>118835</v>
      </c>
      <c r="C23" s="39">
        <f t="shared" si="5"/>
        <v>118835</v>
      </c>
      <c r="D23" s="39">
        <f t="shared" si="2"/>
        <v>0</v>
      </c>
      <c r="E23" s="39">
        <v>118835</v>
      </c>
      <c r="F23" s="39">
        <v>0</v>
      </c>
      <c r="G23" s="39">
        <v>0</v>
      </c>
      <c r="H23" s="39">
        <v>0</v>
      </c>
      <c r="I23" s="33" t="s">
        <v>233</v>
      </c>
      <c r="J23" s="39">
        <f t="shared" si="1"/>
        <v>0</v>
      </c>
      <c r="K23" s="39">
        <f t="shared" si="3"/>
        <v>0</v>
      </c>
      <c r="L23" s="39">
        <f t="shared" si="4"/>
        <v>0</v>
      </c>
      <c r="M23" s="39">
        <v>0</v>
      </c>
      <c r="N23" s="39">
        <v>0</v>
      </c>
      <c r="O23" s="39">
        <v>0</v>
      </c>
      <c r="P23" s="39">
        <v>0</v>
      </c>
    </row>
    <row r="24" spans="1:16" x14ac:dyDescent="0.25">
      <c r="A24" s="33" t="s">
        <v>134</v>
      </c>
      <c r="B24" s="39">
        <f t="shared" si="0"/>
        <v>1544482.25</v>
      </c>
      <c r="C24" s="39">
        <f t="shared" si="5"/>
        <v>1544482.25</v>
      </c>
      <c r="D24" s="39">
        <f t="shared" si="2"/>
        <v>0</v>
      </c>
      <c r="E24" s="39">
        <v>1544482.25</v>
      </c>
      <c r="F24" s="39">
        <v>0</v>
      </c>
      <c r="G24" s="39">
        <v>0</v>
      </c>
      <c r="H24" s="39">
        <v>0</v>
      </c>
      <c r="I24" s="33" t="s">
        <v>134</v>
      </c>
      <c r="J24" s="39">
        <f t="shared" si="1"/>
        <v>0</v>
      </c>
      <c r="K24" s="39">
        <f t="shared" si="3"/>
        <v>0</v>
      </c>
      <c r="L24" s="39">
        <f t="shared" si="4"/>
        <v>0</v>
      </c>
      <c r="M24" s="39">
        <v>0</v>
      </c>
      <c r="N24" s="39">
        <v>0</v>
      </c>
      <c r="O24" s="39">
        <v>0</v>
      </c>
      <c r="P24" s="39">
        <v>0</v>
      </c>
    </row>
    <row r="25" spans="1:16" x14ac:dyDescent="0.25">
      <c r="A25" s="33" t="s">
        <v>135</v>
      </c>
      <c r="B25" s="39">
        <f t="shared" si="0"/>
        <v>0</v>
      </c>
      <c r="C25" s="39">
        <f t="shared" si="5"/>
        <v>0</v>
      </c>
      <c r="D25" s="39">
        <f t="shared" si="2"/>
        <v>0</v>
      </c>
      <c r="E25" s="39">
        <v>0</v>
      </c>
      <c r="F25" s="39">
        <v>0</v>
      </c>
      <c r="G25" s="39">
        <v>0</v>
      </c>
      <c r="H25" s="39">
        <v>0</v>
      </c>
      <c r="I25" s="33" t="s">
        <v>135</v>
      </c>
      <c r="J25" s="39">
        <f t="shared" si="1"/>
        <v>0</v>
      </c>
      <c r="K25" s="39">
        <f t="shared" si="3"/>
        <v>0</v>
      </c>
      <c r="L25" s="39">
        <f t="shared" si="4"/>
        <v>0</v>
      </c>
      <c r="M25" s="39">
        <v>0</v>
      </c>
      <c r="N25" s="39">
        <v>0</v>
      </c>
      <c r="O25" s="39">
        <v>0</v>
      </c>
      <c r="P25" s="39">
        <v>0</v>
      </c>
    </row>
    <row r="26" spans="1:16" x14ac:dyDescent="0.25">
      <c r="A26" s="33" t="s">
        <v>136</v>
      </c>
      <c r="B26" s="39">
        <f t="shared" si="0"/>
        <v>0</v>
      </c>
      <c r="C26" s="39">
        <f t="shared" si="5"/>
        <v>0</v>
      </c>
      <c r="D26" s="39">
        <f t="shared" si="2"/>
        <v>0</v>
      </c>
      <c r="E26" s="39">
        <v>0</v>
      </c>
      <c r="F26" s="39">
        <v>0</v>
      </c>
      <c r="G26" s="39">
        <v>0</v>
      </c>
      <c r="H26" s="39">
        <v>0</v>
      </c>
      <c r="I26" s="33" t="s">
        <v>136</v>
      </c>
      <c r="J26" s="39">
        <f t="shared" si="1"/>
        <v>0</v>
      </c>
      <c r="K26" s="39">
        <f t="shared" si="3"/>
        <v>0</v>
      </c>
      <c r="L26" s="39">
        <f t="shared" si="4"/>
        <v>0</v>
      </c>
      <c r="M26" s="39">
        <v>0</v>
      </c>
      <c r="N26" s="39">
        <v>0</v>
      </c>
      <c r="O26" s="39">
        <v>0</v>
      </c>
      <c r="P26" s="39">
        <v>0</v>
      </c>
    </row>
    <row r="27" spans="1:16" x14ac:dyDescent="0.25">
      <c r="A27" s="33" t="s">
        <v>137</v>
      </c>
      <c r="B27" s="39">
        <f t="shared" si="0"/>
        <v>0</v>
      </c>
      <c r="C27" s="39">
        <f t="shared" si="5"/>
        <v>0</v>
      </c>
      <c r="D27" s="39">
        <f t="shared" si="2"/>
        <v>0</v>
      </c>
      <c r="E27" s="39">
        <v>0</v>
      </c>
      <c r="F27" s="39">
        <v>0</v>
      </c>
      <c r="G27" s="39">
        <v>0</v>
      </c>
      <c r="H27" s="39">
        <v>0</v>
      </c>
      <c r="I27" s="33" t="s">
        <v>137</v>
      </c>
      <c r="J27" s="39">
        <f t="shared" si="1"/>
        <v>1100000</v>
      </c>
      <c r="K27" s="39">
        <f t="shared" si="3"/>
        <v>1100000</v>
      </c>
      <c r="L27" s="39">
        <f t="shared" si="4"/>
        <v>0</v>
      </c>
      <c r="M27" s="39">
        <v>1100000</v>
      </c>
      <c r="N27" s="39">
        <v>0</v>
      </c>
      <c r="O27" s="39">
        <v>0</v>
      </c>
      <c r="P27" s="39">
        <v>0</v>
      </c>
    </row>
    <row r="28" spans="1:16" x14ac:dyDescent="0.25">
      <c r="A28" s="33" t="s">
        <v>138</v>
      </c>
      <c r="B28" s="39">
        <f t="shared" si="0"/>
        <v>0</v>
      </c>
      <c r="C28" s="39">
        <f t="shared" si="5"/>
        <v>0</v>
      </c>
      <c r="D28" s="39">
        <f t="shared" si="2"/>
        <v>0</v>
      </c>
      <c r="E28" s="39">
        <v>0</v>
      </c>
      <c r="F28" s="39">
        <v>0</v>
      </c>
      <c r="G28" s="39">
        <v>0</v>
      </c>
      <c r="H28" s="39">
        <v>0</v>
      </c>
      <c r="I28" s="33" t="s">
        <v>138</v>
      </c>
      <c r="J28" s="39">
        <f t="shared" si="1"/>
        <v>0</v>
      </c>
      <c r="K28" s="39">
        <f t="shared" si="3"/>
        <v>0</v>
      </c>
      <c r="L28" s="39">
        <f t="shared" si="4"/>
        <v>0</v>
      </c>
      <c r="M28" s="39">
        <v>0</v>
      </c>
      <c r="N28" s="39">
        <v>0</v>
      </c>
      <c r="O28" s="39">
        <v>0</v>
      </c>
      <c r="P28" s="39">
        <v>0</v>
      </c>
    </row>
    <row r="29" spans="1:16" x14ac:dyDescent="0.25">
      <c r="A29" s="33" t="s">
        <v>139</v>
      </c>
      <c r="B29" s="39">
        <f t="shared" si="0"/>
        <v>160560</v>
      </c>
      <c r="C29" s="39">
        <f t="shared" si="5"/>
        <v>160560</v>
      </c>
      <c r="D29" s="39">
        <f t="shared" si="2"/>
        <v>0</v>
      </c>
      <c r="E29" s="39">
        <v>160560</v>
      </c>
      <c r="F29" s="39">
        <v>0</v>
      </c>
      <c r="G29" s="39">
        <v>0</v>
      </c>
      <c r="H29" s="39">
        <v>0</v>
      </c>
      <c r="I29" s="33" t="s">
        <v>139</v>
      </c>
      <c r="J29" s="39">
        <f t="shared" si="1"/>
        <v>0</v>
      </c>
      <c r="K29" s="39">
        <f t="shared" si="3"/>
        <v>0</v>
      </c>
      <c r="L29" s="39">
        <f t="shared" si="4"/>
        <v>0</v>
      </c>
      <c r="M29" s="39">
        <v>0</v>
      </c>
      <c r="N29" s="39">
        <v>0</v>
      </c>
      <c r="O29" s="39">
        <v>0</v>
      </c>
      <c r="P29" s="39">
        <v>0</v>
      </c>
    </row>
    <row r="30" spans="1:16" x14ac:dyDescent="0.25">
      <c r="A30" s="33" t="s">
        <v>140</v>
      </c>
      <c r="B30" s="39">
        <f t="shared" si="0"/>
        <v>0</v>
      </c>
      <c r="C30" s="39">
        <f t="shared" si="5"/>
        <v>0</v>
      </c>
      <c r="D30" s="39">
        <f t="shared" si="2"/>
        <v>0</v>
      </c>
      <c r="E30" s="39">
        <v>0</v>
      </c>
      <c r="F30" s="39">
        <v>0</v>
      </c>
      <c r="G30" s="39">
        <v>0</v>
      </c>
      <c r="H30" s="39">
        <v>0</v>
      </c>
      <c r="I30" s="33" t="s">
        <v>140</v>
      </c>
      <c r="J30" s="39">
        <f t="shared" si="1"/>
        <v>0</v>
      </c>
      <c r="K30" s="39">
        <f t="shared" si="3"/>
        <v>0</v>
      </c>
      <c r="L30" s="39">
        <f t="shared" si="4"/>
        <v>0</v>
      </c>
      <c r="M30" s="39">
        <v>0</v>
      </c>
      <c r="N30" s="39">
        <v>0</v>
      </c>
      <c r="O30" s="39">
        <v>0</v>
      </c>
      <c r="P30" s="39">
        <v>0</v>
      </c>
    </row>
    <row r="31" spans="1:16" x14ac:dyDescent="0.25">
      <c r="A31" s="33" t="s">
        <v>141</v>
      </c>
      <c r="B31" s="39">
        <f t="shared" si="0"/>
        <v>0</v>
      </c>
      <c r="C31" s="39">
        <f t="shared" si="5"/>
        <v>0</v>
      </c>
      <c r="D31" s="39">
        <f t="shared" si="2"/>
        <v>0</v>
      </c>
      <c r="E31" s="39">
        <v>0</v>
      </c>
      <c r="F31" s="39">
        <v>0</v>
      </c>
      <c r="G31" s="39">
        <v>0</v>
      </c>
      <c r="H31" s="39">
        <v>0</v>
      </c>
      <c r="I31" s="33" t="s">
        <v>141</v>
      </c>
      <c r="J31" s="39">
        <f t="shared" si="1"/>
        <v>0</v>
      </c>
      <c r="K31" s="39">
        <f t="shared" si="3"/>
        <v>0</v>
      </c>
      <c r="L31" s="39">
        <f t="shared" si="4"/>
        <v>0</v>
      </c>
      <c r="M31" s="39">
        <v>0</v>
      </c>
      <c r="N31" s="39">
        <v>0</v>
      </c>
      <c r="O31" s="39">
        <v>0</v>
      </c>
      <c r="P31" s="39">
        <v>0</v>
      </c>
    </row>
    <row r="32" spans="1:16" x14ac:dyDescent="0.25">
      <c r="A32" s="33" t="s">
        <v>142</v>
      </c>
      <c r="B32" s="39">
        <f t="shared" si="0"/>
        <v>0</v>
      </c>
      <c r="C32" s="39">
        <f t="shared" si="5"/>
        <v>0</v>
      </c>
      <c r="D32" s="39">
        <f t="shared" si="2"/>
        <v>0</v>
      </c>
      <c r="E32" s="39">
        <v>0</v>
      </c>
      <c r="F32" s="39">
        <v>0</v>
      </c>
      <c r="G32" s="39">
        <v>0</v>
      </c>
      <c r="H32" s="39">
        <v>0</v>
      </c>
      <c r="I32" s="33" t="s">
        <v>142</v>
      </c>
      <c r="J32" s="39">
        <f t="shared" si="1"/>
        <v>0</v>
      </c>
      <c r="K32" s="39">
        <f t="shared" si="3"/>
        <v>0</v>
      </c>
      <c r="L32" s="39">
        <f t="shared" si="4"/>
        <v>0</v>
      </c>
      <c r="M32" s="39">
        <v>0</v>
      </c>
      <c r="N32" s="39">
        <v>0</v>
      </c>
      <c r="O32" s="39">
        <v>0</v>
      </c>
      <c r="P32" s="39">
        <v>0</v>
      </c>
    </row>
    <row r="33" spans="1:16" x14ac:dyDescent="0.25">
      <c r="A33" s="33" t="s">
        <v>143</v>
      </c>
      <c r="B33" s="39">
        <f t="shared" si="0"/>
        <v>0</v>
      </c>
      <c r="C33" s="39">
        <f t="shared" si="5"/>
        <v>0</v>
      </c>
      <c r="D33" s="39">
        <f t="shared" si="2"/>
        <v>0</v>
      </c>
      <c r="E33" s="39">
        <v>0</v>
      </c>
      <c r="F33" s="39">
        <v>0</v>
      </c>
      <c r="G33" s="39">
        <v>0</v>
      </c>
      <c r="H33" s="39">
        <v>0</v>
      </c>
      <c r="I33" s="33" t="s">
        <v>143</v>
      </c>
      <c r="J33" s="39">
        <f t="shared" si="1"/>
        <v>0</v>
      </c>
      <c r="K33" s="39">
        <f t="shared" si="3"/>
        <v>0</v>
      </c>
      <c r="L33" s="39">
        <f t="shared" si="4"/>
        <v>0</v>
      </c>
      <c r="M33" s="39">
        <v>0</v>
      </c>
      <c r="N33" s="39">
        <v>0</v>
      </c>
      <c r="O33" s="39">
        <v>0</v>
      </c>
      <c r="P33" s="39">
        <v>0</v>
      </c>
    </row>
    <row r="34" spans="1:16" x14ac:dyDescent="0.25">
      <c r="A34" s="33" t="s">
        <v>144</v>
      </c>
      <c r="B34" s="39">
        <f t="shared" si="0"/>
        <v>0</v>
      </c>
      <c r="C34" s="39">
        <f t="shared" si="5"/>
        <v>0</v>
      </c>
      <c r="D34" s="39">
        <f t="shared" si="2"/>
        <v>0</v>
      </c>
      <c r="E34" s="39">
        <v>0</v>
      </c>
      <c r="F34" s="39">
        <v>0</v>
      </c>
      <c r="G34" s="39">
        <v>0</v>
      </c>
      <c r="H34" s="39">
        <v>0</v>
      </c>
      <c r="I34" s="33" t="s">
        <v>144</v>
      </c>
      <c r="J34" s="39">
        <f t="shared" si="1"/>
        <v>0</v>
      </c>
      <c r="K34" s="39">
        <f t="shared" si="3"/>
        <v>0</v>
      </c>
      <c r="L34" s="39">
        <f t="shared" si="4"/>
        <v>0</v>
      </c>
      <c r="M34" s="39">
        <v>0</v>
      </c>
      <c r="N34" s="39">
        <v>0</v>
      </c>
      <c r="O34" s="39">
        <v>0</v>
      </c>
      <c r="P34" s="39">
        <v>0</v>
      </c>
    </row>
    <row r="35" spans="1:16" x14ac:dyDescent="0.25">
      <c r="A35" s="33" t="s">
        <v>145</v>
      </c>
      <c r="B35" s="39">
        <f t="shared" si="0"/>
        <v>0</v>
      </c>
      <c r="C35" s="39">
        <f t="shared" si="5"/>
        <v>0</v>
      </c>
      <c r="D35" s="39">
        <f t="shared" si="2"/>
        <v>0</v>
      </c>
      <c r="E35" s="39">
        <v>0</v>
      </c>
      <c r="F35" s="39">
        <v>0</v>
      </c>
      <c r="G35" s="39">
        <v>0</v>
      </c>
      <c r="H35" s="39">
        <v>0</v>
      </c>
      <c r="I35" s="33" t="s">
        <v>145</v>
      </c>
      <c r="J35" s="39">
        <f t="shared" si="1"/>
        <v>1000000</v>
      </c>
      <c r="K35" s="39">
        <f t="shared" si="3"/>
        <v>1000000</v>
      </c>
      <c r="L35" s="39">
        <f t="shared" si="4"/>
        <v>0</v>
      </c>
      <c r="M35" s="39">
        <v>1000000</v>
      </c>
      <c r="N35" s="39">
        <v>0</v>
      </c>
      <c r="O35" s="39">
        <v>0</v>
      </c>
      <c r="P35" s="39">
        <v>0</v>
      </c>
    </row>
    <row r="36" spans="1:16" x14ac:dyDescent="0.25">
      <c r="A36" s="33" t="s">
        <v>146</v>
      </c>
      <c r="B36" s="39">
        <f t="shared" si="0"/>
        <v>465012</v>
      </c>
      <c r="C36" s="39">
        <f t="shared" si="5"/>
        <v>0</v>
      </c>
      <c r="D36" s="39">
        <f t="shared" si="2"/>
        <v>465012</v>
      </c>
      <c r="E36" s="39">
        <v>0</v>
      </c>
      <c r="F36" s="39">
        <v>465012</v>
      </c>
      <c r="G36" s="39">
        <v>0</v>
      </c>
      <c r="H36" s="39">
        <v>0</v>
      </c>
      <c r="I36" s="33" t="s">
        <v>146</v>
      </c>
      <c r="J36" s="39">
        <f t="shared" si="1"/>
        <v>0</v>
      </c>
      <c r="K36" s="39">
        <f t="shared" si="3"/>
        <v>0</v>
      </c>
      <c r="L36" s="39">
        <f t="shared" si="4"/>
        <v>0</v>
      </c>
      <c r="M36" s="39">
        <v>0</v>
      </c>
      <c r="N36" s="39">
        <v>0</v>
      </c>
      <c r="O36" s="39">
        <v>0</v>
      </c>
      <c r="P36" s="39">
        <v>0</v>
      </c>
    </row>
    <row r="37" spans="1:16" x14ac:dyDescent="0.25">
      <c r="A37" s="33" t="s">
        <v>234</v>
      </c>
      <c r="B37" s="39">
        <f t="shared" si="0"/>
        <v>21064</v>
      </c>
      <c r="C37" s="39">
        <f t="shared" si="5"/>
        <v>21064</v>
      </c>
      <c r="D37" s="39">
        <f t="shared" si="2"/>
        <v>0</v>
      </c>
      <c r="E37" s="39">
        <v>21064</v>
      </c>
      <c r="F37" s="39">
        <v>0</v>
      </c>
      <c r="G37" s="39">
        <v>0</v>
      </c>
      <c r="H37" s="39">
        <v>0</v>
      </c>
      <c r="I37" s="33" t="s">
        <v>234</v>
      </c>
      <c r="J37" s="39">
        <f t="shared" si="1"/>
        <v>0</v>
      </c>
      <c r="K37" s="39">
        <f t="shared" si="3"/>
        <v>0</v>
      </c>
      <c r="L37" s="39">
        <f t="shared" si="4"/>
        <v>0</v>
      </c>
      <c r="M37" s="39">
        <v>0</v>
      </c>
      <c r="N37" s="39">
        <v>0</v>
      </c>
      <c r="O37" s="39">
        <v>0</v>
      </c>
      <c r="P37" s="39">
        <v>0</v>
      </c>
    </row>
    <row r="38" spans="1:16" x14ac:dyDescent="0.25">
      <c r="A38" s="33" t="s">
        <v>148</v>
      </c>
      <c r="B38" s="39">
        <f t="shared" si="0"/>
        <v>337750</v>
      </c>
      <c r="C38" s="39">
        <f t="shared" si="5"/>
        <v>83546</v>
      </c>
      <c r="D38" s="39">
        <f t="shared" si="2"/>
        <v>254204</v>
      </c>
      <c r="E38" s="39">
        <v>83546</v>
      </c>
      <c r="F38" s="39">
        <v>254204</v>
      </c>
      <c r="G38" s="39">
        <v>0</v>
      </c>
      <c r="H38" s="39">
        <v>0</v>
      </c>
      <c r="I38" s="33" t="s">
        <v>148</v>
      </c>
      <c r="J38" s="39">
        <f t="shared" si="1"/>
        <v>0</v>
      </c>
      <c r="K38" s="39">
        <f t="shared" si="3"/>
        <v>0</v>
      </c>
      <c r="L38" s="39">
        <f t="shared" si="4"/>
        <v>0</v>
      </c>
      <c r="M38" s="39">
        <v>0</v>
      </c>
      <c r="N38" s="39">
        <v>0</v>
      </c>
      <c r="O38" s="39">
        <v>0</v>
      </c>
      <c r="P38" s="39">
        <v>0</v>
      </c>
    </row>
    <row r="39" spans="1:16" x14ac:dyDescent="0.25">
      <c r="A39" s="33" t="s">
        <v>149</v>
      </c>
      <c r="B39" s="39">
        <f t="shared" si="0"/>
        <v>0</v>
      </c>
      <c r="C39" s="39">
        <f t="shared" si="5"/>
        <v>0</v>
      </c>
      <c r="D39" s="39">
        <f t="shared" si="2"/>
        <v>0</v>
      </c>
      <c r="E39" s="39">
        <v>0</v>
      </c>
      <c r="F39" s="39">
        <v>0</v>
      </c>
      <c r="G39" s="39">
        <v>0</v>
      </c>
      <c r="H39" s="39">
        <v>0</v>
      </c>
      <c r="I39" s="33" t="s">
        <v>149</v>
      </c>
      <c r="J39" s="39">
        <f t="shared" si="1"/>
        <v>0</v>
      </c>
      <c r="K39" s="39">
        <f t="shared" si="3"/>
        <v>0</v>
      </c>
      <c r="L39" s="39">
        <f t="shared" si="4"/>
        <v>0</v>
      </c>
      <c r="M39" s="39">
        <v>0</v>
      </c>
      <c r="N39" s="39">
        <v>0</v>
      </c>
      <c r="O39" s="39">
        <v>0</v>
      </c>
      <c r="P39" s="39">
        <v>0</v>
      </c>
    </row>
    <row r="40" spans="1:16" x14ac:dyDescent="0.25">
      <c r="A40" s="33" t="s">
        <v>150</v>
      </c>
      <c r="B40" s="39">
        <f t="shared" si="0"/>
        <v>455314.49</v>
      </c>
      <c r="C40" s="39">
        <f t="shared" si="5"/>
        <v>455314.49</v>
      </c>
      <c r="D40" s="39">
        <f t="shared" si="2"/>
        <v>0</v>
      </c>
      <c r="E40" s="39">
        <v>455314.49</v>
      </c>
      <c r="F40" s="39">
        <v>0</v>
      </c>
      <c r="G40" s="39">
        <v>0</v>
      </c>
      <c r="H40" s="39">
        <v>0</v>
      </c>
      <c r="I40" s="33" t="s">
        <v>150</v>
      </c>
      <c r="J40" s="39">
        <f t="shared" si="1"/>
        <v>0</v>
      </c>
      <c r="K40" s="39">
        <f t="shared" si="3"/>
        <v>0</v>
      </c>
      <c r="L40" s="39">
        <f t="shared" si="4"/>
        <v>0</v>
      </c>
      <c r="M40" s="39">
        <v>0</v>
      </c>
      <c r="N40" s="39">
        <v>0</v>
      </c>
      <c r="O40" s="39">
        <v>0</v>
      </c>
      <c r="P40" s="39">
        <v>0</v>
      </c>
    </row>
    <row r="41" spans="1:16" x14ac:dyDescent="0.25">
      <c r="A41" s="33" t="s">
        <v>151</v>
      </c>
      <c r="B41" s="39">
        <f t="shared" si="0"/>
        <v>0</v>
      </c>
      <c r="C41" s="39">
        <f t="shared" si="5"/>
        <v>0</v>
      </c>
      <c r="D41" s="39">
        <f t="shared" si="2"/>
        <v>0</v>
      </c>
      <c r="E41" s="39">
        <v>0</v>
      </c>
      <c r="F41" s="39">
        <v>0</v>
      </c>
      <c r="G41" s="39">
        <v>0</v>
      </c>
      <c r="H41" s="39">
        <v>0</v>
      </c>
      <c r="I41" s="33" t="s">
        <v>151</v>
      </c>
      <c r="J41" s="39">
        <f t="shared" si="1"/>
        <v>0</v>
      </c>
      <c r="K41" s="39">
        <f t="shared" si="3"/>
        <v>0</v>
      </c>
      <c r="L41" s="39">
        <f t="shared" si="4"/>
        <v>0</v>
      </c>
      <c r="M41" s="39">
        <v>0</v>
      </c>
      <c r="N41" s="39">
        <v>0</v>
      </c>
      <c r="O41" s="39">
        <v>0</v>
      </c>
      <c r="P41" s="39">
        <v>0</v>
      </c>
    </row>
    <row r="42" spans="1:16" x14ac:dyDescent="0.25">
      <c r="A42" s="33" t="s">
        <v>152</v>
      </c>
      <c r="B42" s="39">
        <f t="shared" si="0"/>
        <v>0</v>
      </c>
      <c r="C42" s="39">
        <f t="shared" si="5"/>
        <v>0</v>
      </c>
      <c r="D42" s="39">
        <f t="shared" si="2"/>
        <v>0</v>
      </c>
      <c r="E42" s="39">
        <v>0</v>
      </c>
      <c r="F42" s="39">
        <v>0</v>
      </c>
      <c r="G42" s="39">
        <v>0</v>
      </c>
      <c r="H42" s="39">
        <v>0</v>
      </c>
      <c r="I42" s="33" t="s">
        <v>152</v>
      </c>
      <c r="J42" s="39">
        <f t="shared" si="1"/>
        <v>0</v>
      </c>
      <c r="K42" s="39">
        <f t="shared" si="3"/>
        <v>0</v>
      </c>
      <c r="L42" s="39">
        <f t="shared" si="4"/>
        <v>0</v>
      </c>
      <c r="M42" s="39">
        <v>0</v>
      </c>
      <c r="N42" s="39">
        <v>0</v>
      </c>
      <c r="O42" s="39">
        <v>0</v>
      </c>
      <c r="P42" s="39">
        <v>0</v>
      </c>
    </row>
    <row r="43" spans="1:16" x14ac:dyDescent="0.25">
      <c r="A43" s="33" t="s">
        <v>153</v>
      </c>
      <c r="B43" s="39">
        <f t="shared" si="0"/>
        <v>0</v>
      </c>
      <c r="C43" s="39">
        <f t="shared" si="5"/>
        <v>0</v>
      </c>
      <c r="D43" s="39">
        <f t="shared" si="2"/>
        <v>0</v>
      </c>
      <c r="E43" s="39">
        <v>0</v>
      </c>
      <c r="F43" s="39">
        <v>0</v>
      </c>
      <c r="G43" s="39">
        <v>0</v>
      </c>
      <c r="H43" s="39">
        <v>0</v>
      </c>
      <c r="I43" s="33" t="s">
        <v>153</v>
      </c>
      <c r="J43" s="39">
        <f t="shared" si="1"/>
        <v>0</v>
      </c>
      <c r="K43" s="39">
        <f t="shared" si="3"/>
        <v>0</v>
      </c>
      <c r="L43" s="39">
        <f t="shared" si="4"/>
        <v>0</v>
      </c>
      <c r="M43" s="39">
        <v>0</v>
      </c>
      <c r="N43" s="39">
        <v>0</v>
      </c>
      <c r="O43" s="39">
        <v>0</v>
      </c>
      <c r="P43" s="39">
        <v>0</v>
      </c>
    </row>
    <row r="44" spans="1:16" x14ac:dyDescent="0.25">
      <c r="A44" s="33" t="s">
        <v>154</v>
      </c>
      <c r="B44" s="39">
        <f t="shared" si="0"/>
        <v>0</v>
      </c>
      <c r="C44" s="39">
        <f t="shared" si="5"/>
        <v>0</v>
      </c>
      <c r="D44" s="39">
        <f t="shared" si="2"/>
        <v>0</v>
      </c>
      <c r="E44" s="39">
        <v>0</v>
      </c>
      <c r="F44" s="39">
        <v>0</v>
      </c>
      <c r="G44" s="39">
        <v>0</v>
      </c>
      <c r="H44" s="39">
        <v>0</v>
      </c>
      <c r="I44" s="33" t="s">
        <v>154</v>
      </c>
      <c r="J44" s="39">
        <f t="shared" si="1"/>
        <v>0</v>
      </c>
      <c r="K44" s="39">
        <f t="shared" si="3"/>
        <v>0</v>
      </c>
      <c r="L44" s="39">
        <f t="shared" si="4"/>
        <v>0</v>
      </c>
      <c r="M44" s="39">
        <v>0</v>
      </c>
      <c r="N44" s="39">
        <v>0</v>
      </c>
      <c r="O44" s="39">
        <v>0</v>
      </c>
      <c r="P44" s="39">
        <v>0</v>
      </c>
    </row>
    <row r="45" spans="1:16" x14ac:dyDescent="0.25">
      <c r="A45" s="33" t="s">
        <v>155</v>
      </c>
      <c r="B45" s="39">
        <f t="shared" si="0"/>
        <v>0</v>
      </c>
      <c r="C45" s="39">
        <f t="shared" si="5"/>
        <v>0</v>
      </c>
      <c r="D45" s="39">
        <f t="shared" si="2"/>
        <v>0</v>
      </c>
      <c r="E45" s="39">
        <v>0</v>
      </c>
      <c r="F45" s="39">
        <v>0</v>
      </c>
      <c r="G45" s="39">
        <v>0</v>
      </c>
      <c r="H45" s="39">
        <v>0</v>
      </c>
      <c r="I45" s="33" t="s">
        <v>155</v>
      </c>
      <c r="J45" s="39">
        <f t="shared" si="1"/>
        <v>0</v>
      </c>
      <c r="K45" s="39">
        <f t="shared" si="3"/>
        <v>0</v>
      </c>
      <c r="L45" s="39">
        <f t="shared" si="4"/>
        <v>0</v>
      </c>
      <c r="M45" s="39">
        <v>0</v>
      </c>
      <c r="N45" s="39">
        <v>0</v>
      </c>
      <c r="O45" s="39">
        <v>0</v>
      </c>
      <c r="P45" s="39">
        <v>0</v>
      </c>
    </row>
    <row r="46" spans="1:16" x14ac:dyDescent="0.25">
      <c r="A46" s="33" t="s">
        <v>156</v>
      </c>
      <c r="B46" s="39">
        <f t="shared" si="0"/>
        <v>130952.5</v>
      </c>
      <c r="C46" s="39">
        <f t="shared" si="5"/>
        <v>65476.5</v>
      </c>
      <c r="D46" s="39">
        <f t="shared" si="2"/>
        <v>65476</v>
      </c>
      <c r="E46" s="39">
        <v>65476.5</v>
      </c>
      <c r="F46" s="39">
        <v>65476</v>
      </c>
      <c r="G46" s="39">
        <v>0</v>
      </c>
      <c r="H46" s="39">
        <v>0</v>
      </c>
      <c r="I46" s="33" t="s">
        <v>156</v>
      </c>
      <c r="J46" s="39">
        <f t="shared" si="1"/>
        <v>0</v>
      </c>
      <c r="K46" s="39">
        <f t="shared" si="3"/>
        <v>0</v>
      </c>
      <c r="L46" s="39">
        <f t="shared" si="4"/>
        <v>0</v>
      </c>
      <c r="M46" s="39">
        <v>0</v>
      </c>
      <c r="N46" s="39">
        <v>0</v>
      </c>
      <c r="O46" s="39">
        <v>0</v>
      </c>
      <c r="P46" s="39">
        <v>0</v>
      </c>
    </row>
    <row r="47" spans="1:16" x14ac:dyDescent="0.25">
      <c r="A47" s="33" t="s">
        <v>157</v>
      </c>
      <c r="B47" s="39">
        <f t="shared" si="0"/>
        <v>0</v>
      </c>
      <c r="C47" s="39">
        <f t="shared" si="5"/>
        <v>0</v>
      </c>
      <c r="D47" s="39">
        <f t="shared" si="2"/>
        <v>0</v>
      </c>
      <c r="E47" s="39">
        <v>0</v>
      </c>
      <c r="F47" s="39">
        <v>0</v>
      </c>
      <c r="G47" s="39">
        <v>0</v>
      </c>
      <c r="H47" s="39">
        <v>0</v>
      </c>
      <c r="I47" s="33" t="s">
        <v>157</v>
      </c>
      <c r="J47" s="39">
        <f t="shared" si="1"/>
        <v>0</v>
      </c>
      <c r="K47" s="39">
        <f t="shared" si="3"/>
        <v>0</v>
      </c>
      <c r="L47" s="39">
        <f t="shared" si="4"/>
        <v>0</v>
      </c>
      <c r="M47" s="39">
        <v>0</v>
      </c>
      <c r="N47" s="39">
        <v>0</v>
      </c>
      <c r="O47" s="39">
        <v>0</v>
      </c>
      <c r="P47" s="39">
        <v>0</v>
      </c>
    </row>
    <row r="48" spans="1:16" x14ac:dyDescent="0.25">
      <c r="A48" s="33" t="s">
        <v>158</v>
      </c>
      <c r="B48" s="39">
        <f t="shared" si="0"/>
        <v>0</v>
      </c>
      <c r="C48" s="39">
        <f t="shared" si="5"/>
        <v>0</v>
      </c>
      <c r="D48" s="39">
        <f t="shared" si="2"/>
        <v>0</v>
      </c>
      <c r="E48" s="39">
        <v>0</v>
      </c>
      <c r="F48" s="39">
        <v>0</v>
      </c>
      <c r="G48" s="39">
        <v>0</v>
      </c>
      <c r="H48" s="39">
        <v>0</v>
      </c>
      <c r="I48" s="33" t="s">
        <v>158</v>
      </c>
      <c r="J48" s="39">
        <f t="shared" si="1"/>
        <v>0</v>
      </c>
      <c r="K48" s="39">
        <f t="shared" si="3"/>
        <v>0</v>
      </c>
      <c r="L48" s="39">
        <f t="shared" si="4"/>
        <v>0</v>
      </c>
      <c r="M48" s="39">
        <v>0</v>
      </c>
      <c r="N48" s="39">
        <v>0</v>
      </c>
      <c r="O48" s="39">
        <v>0</v>
      </c>
      <c r="P48" s="39">
        <v>0</v>
      </c>
    </row>
    <row r="49" spans="1:16" x14ac:dyDescent="0.25">
      <c r="A49" s="33" t="s">
        <v>159</v>
      </c>
      <c r="B49" s="39">
        <f t="shared" si="0"/>
        <v>0</v>
      </c>
      <c r="C49" s="39">
        <f t="shared" si="5"/>
        <v>0</v>
      </c>
      <c r="D49" s="39">
        <f t="shared" si="2"/>
        <v>0</v>
      </c>
      <c r="E49" s="39">
        <v>0</v>
      </c>
      <c r="F49" s="39">
        <v>0</v>
      </c>
      <c r="G49" s="39">
        <v>0</v>
      </c>
      <c r="H49" s="39">
        <v>0</v>
      </c>
      <c r="I49" s="33" t="s">
        <v>159</v>
      </c>
      <c r="J49" s="39">
        <f t="shared" si="1"/>
        <v>0</v>
      </c>
      <c r="K49" s="39">
        <f t="shared" si="3"/>
        <v>0</v>
      </c>
      <c r="L49" s="39">
        <f t="shared" si="4"/>
        <v>0</v>
      </c>
      <c r="M49" s="39">
        <v>0</v>
      </c>
      <c r="N49" s="39">
        <v>0</v>
      </c>
      <c r="O49" s="39">
        <v>0</v>
      </c>
      <c r="P49" s="39">
        <v>0</v>
      </c>
    </row>
    <row r="50" spans="1:16" x14ac:dyDescent="0.25">
      <c r="A50" s="33" t="s">
        <v>160</v>
      </c>
      <c r="B50" s="39">
        <f t="shared" si="0"/>
        <v>0</v>
      </c>
      <c r="C50" s="39">
        <f t="shared" si="5"/>
        <v>0</v>
      </c>
      <c r="D50" s="39">
        <f t="shared" si="2"/>
        <v>0</v>
      </c>
      <c r="E50" s="39">
        <v>0</v>
      </c>
      <c r="F50" s="39">
        <v>0</v>
      </c>
      <c r="G50" s="39">
        <v>0</v>
      </c>
      <c r="H50" s="39">
        <v>0</v>
      </c>
      <c r="I50" s="33" t="s">
        <v>160</v>
      </c>
      <c r="J50" s="39">
        <f t="shared" si="1"/>
        <v>0</v>
      </c>
      <c r="K50" s="39">
        <f t="shared" si="3"/>
        <v>0</v>
      </c>
      <c r="L50" s="39">
        <f t="shared" si="4"/>
        <v>0</v>
      </c>
      <c r="M50" s="39">
        <v>0</v>
      </c>
      <c r="N50" s="39">
        <v>0</v>
      </c>
      <c r="O50" s="39">
        <v>0</v>
      </c>
      <c r="P50" s="39">
        <v>0</v>
      </c>
    </row>
    <row r="51" spans="1:16" x14ac:dyDescent="0.25">
      <c r="A51" s="33" t="s">
        <v>161</v>
      </c>
      <c r="B51" s="39">
        <f t="shared" si="0"/>
        <v>0</v>
      </c>
      <c r="C51" s="39">
        <f t="shared" si="5"/>
        <v>0</v>
      </c>
      <c r="D51" s="39">
        <f t="shared" si="2"/>
        <v>0</v>
      </c>
      <c r="E51" s="39">
        <v>0</v>
      </c>
      <c r="F51" s="39">
        <v>0</v>
      </c>
      <c r="G51" s="39">
        <v>0</v>
      </c>
      <c r="H51" s="39">
        <v>0</v>
      </c>
      <c r="I51" s="33" t="s">
        <v>161</v>
      </c>
      <c r="J51" s="39">
        <f t="shared" si="1"/>
        <v>0</v>
      </c>
      <c r="K51" s="39">
        <f t="shared" si="3"/>
        <v>0</v>
      </c>
      <c r="L51" s="39">
        <f t="shared" si="4"/>
        <v>0</v>
      </c>
      <c r="M51" s="39">
        <v>0</v>
      </c>
      <c r="N51" s="39">
        <v>0</v>
      </c>
      <c r="O51" s="39">
        <v>0</v>
      </c>
      <c r="P51" s="39">
        <v>0</v>
      </c>
    </row>
    <row r="52" spans="1:16" x14ac:dyDescent="0.25">
      <c r="A52" s="33" t="s">
        <v>162</v>
      </c>
      <c r="B52" s="39">
        <f t="shared" si="0"/>
        <v>8907293.6500000004</v>
      </c>
      <c r="C52" s="39">
        <f t="shared" si="5"/>
        <v>7715804.7000000002</v>
      </c>
      <c r="D52" s="39">
        <f t="shared" si="2"/>
        <v>1191488.95</v>
      </c>
      <c r="E52" s="39">
        <v>7715804.7000000002</v>
      </c>
      <c r="F52" s="39">
        <v>1191488.95</v>
      </c>
      <c r="G52" s="39">
        <v>0</v>
      </c>
      <c r="H52" s="39">
        <v>0</v>
      </c>
      <c r="I52" s="33" t="s">
        <v>162</v>
      </c>
      <c r="J52" s="39">
        <f t="shared" si="1"/>
        <v>0</v>
      </c>
      <c r="K52" s="39">
        <f t="shared" si="3"/>
        <v>0</v>
      </c>
      <c r="L52" s="39">
        <f t="shared" si="4"/>
        <v>0</v>
      </c>
      <c r="M52" s="39">
        <v>0</v>
      </c>
      <c r="N52" s="39">
        <v>0</v>
      </c>
      <c r="O52" s="39">
        <v>0</v>
      </c>
      <c r="P52" s="39">
        <v>0</v>
      </c>
    </row>
    <row r="53" spans="1:16" x14ac:dyDescent="0.25">
      <c r="A53" s="33" t="s">
        <v>163</v>
      </c>
      <c r="B53" s="39">
        <f t="shared" si="0"/>
        <v>0</v>
      </c>
      <c r="C53" s="39">
        <f t="shared" si="5"/>
        <v>0</v>
      </c>
      <c r="D53" s="39">
        <f t="shared" si="2"/>
        <v>0</v>
      </c>
      <c r="E53" s="39">
        <v>0</v>
      </c>
      <c r="F53" s="39">
        <v>0</v>
      </c>
      <c r="G53" s="39">
        <v>0</v>
      </c>
      <c r="H53" s="39">
        <v>0</v>
      </c>
      <c r="I53" s="33" t="s">
        <v>163</v>
      </c>
      <c r="J53" s="39">
        <f t="shared" si="1"/>
        <v>0</v>
      </c>
      <c r="K53" s="39">
        <f t="shared" si="3"/>
        <v>0</v>
      </c>
      <c r="L53" s="39">
        <f t="shared" si="4"/>
        <v>0</v>
      </c>
      <c r="M53" s="39">
        <v>0</v>
      </c>
      <c r="N53" s="39">
        <v>0</v>
      </c>
      <c r="O53" s="39">
        <v>0</v>
      </c>
      <c r="P53" s="39">
        <v>0</v>
      </c>
    </row>
    <row r="54" spans="1:16" x14ac:dyDescent="0.25">
      <c r="A54" s="33" t="s">
        <v>164</v>
      </c>
      <c r="B54" s="39">
        <f t="shared" si="0"/>
        <v>3790747.24</v>
      </c>
      <c r="C54" s="39">
        <f t="shared" si="5"/>
        <v>0</v>
      </c>
      <c r="D54" s="39">
        <f t="shared" si="2"/>
        <v>3790747.24</v>
      </c>
      <c r="E54" s="39">
        <v>0</v>
      </c>
      <c r="F54" s="39">
        <v>3790747.24</v>
      </c>
      <c r="G54" s="39">
        <v>0</v>
      </c>
      <c r="H54" s="39">
        <v>0</v>
      </c>
      <c r="I54" s="33" t="s">
        <v>164</v>
      </c>
      <c r="J54" s="39">
        <f t="shared" si="1"/>
        <v>1245456.19</v>
      </c>
      <c r="K54" s="39">
        <f t="shared" si="3"/>
        <v>0</v>
      </c>
      <c r="L54" s="39">
        <f t="shared" si="4"/>
        <v>1245456.19</v>
      </c>
      <c r="M54" s="39">
        <v>0</v>
      </c>
      <c r="N54" s="39">
        <v>1245456.19</v>
      </c>
      <c r="O54" s="39">
        <v>0</v>
      </c>
      <c r="P54" s="39">
        <v>0</v>
      </c>
    </row>
    <row r="55" spans="1:16" x14ac:dyDescent="0.25">
      <c r="A55" s="240" t="s">
        <v>165</v>
      </c>
      <c r="B55" s="39">
        <f t="shared" si="0"/>
        <v>0</v>
      </c>
      <c r="C55" s="39">
        <f t="shared" si="5"/>
        <v>0</v>
      </c>
      <c r="D55" s="39">
        <f t="shared" si="2"/>
        <v>0</v>
      </c>
      <c r="E55" s="39">
        <v>0</v>
      </c>
      <c r="F55" s="39">
        <v>0</v>
      </c>
      <c r="G55" s="39">
        <v>0</v>
      </c>
      <c r="H55" s="39">
        <v>0</v>
      </c>
      <c r="I55" s="34" t="s">
        <v>165</v>
      </c>
      <c r="J55" s="39">
        <f t="shared" si="1"/>
        <v>0</v>
      </c>
      <c r="K55" s="39">
        <f t="shared" si="3"/>
        <v>0</v>
      </c>
      <c r="L55" s="39">
        <f t="shared" si="4"/>
        <v>0</v>
      </c>
      <c r="M55" s="40">
        <v>0</v>
      </c>
      <c r="N55" s="40">
        <v>0</v>
      </c>
      <c r="O55" s="40">
        <v>0</v>
      </c>
      <c r="P55" s="40">
        <v>0</v>
      </c>
    </row>
    <row r="56" spans="1:16" s="247" customFormat="1" ht="22.5" customHeight="1" x14ac:dyDescent="0.25">
      <c r="A56" s="241" t="s">
        <v>357</v>
      </c>
      <c r="B56" s="242"/>
      <c r="C56" s="243"/>
      <c r="D56" s="244"/>
      <c r="E56" s="243"/>
      <c r="F56" s="243"/>
      <c r="G56" s="245"/>
      <c r="H56" s="246"/>
      <c r="I56" s="243"/>
      <c r="J56" s="242"/>
      <c r="K56" s="243"/>
      <c r="L56" s="244"/>
      <c r="M56" s="243"/>
      <c r="N56" s="243"/>
      <c r="O56" s="245"/>
      <c r="P56" s="243"/>
    </row>
    <row r="57" spans="1:16" s="93" customFormat="1" ht="121.7" customHeight="1" x14ac:dyDescent="0.2">
      <c r="A57" s="253" t="s">
        <v>371</v>
      </c>
      <c r="B57" s="253"/>
      <c r="C57" s="253"/>
      <c r="D57" s="253"/>
      <c r="E57" s="253"/>
      <c r="F57" s="253"/>
      <c r="G57" s="253"/>
      <c r="H57" s="253"/>
      <c r="I57" s="253"/>
      <c r="J57" s="253"/>
      <c r="K57" s="253"/>
      <c r="L57" s="253"/>
      <c r="M57" s="253"/>
      <c r="N57" s="253"/>
      <c r="O57" s="92"/>
      <c r="P57" s="91"/>
    </row>
    <row r="58" spans="1:16" x14ac:dyDescent="0.25">
      <c r="B58" s="8"/>
      <c r="C58" s="5"/>
      <c r="D58" s="8"/>
      <c r="E58" s="5"/>
      <c r="F58" s="5"/>
      <c r="G58" s="4"/>
      <c r="J58" s="8"/>
      <c r="K58" s="5"/>
      <c r="L58" s="8"/>
      <c r="M58" s="5"/>
      <c r="N58" s="5"/>
      <c r="O58" s="4"/>
    </row>
    <row r="59" spans="1:16" x14ac:dyDescent="0.25">
      <c r="B59" s="8"/>
      <c r="C59" s="5"/>
      <c r="D59" s="8"/>
      <c r="E59" s="5"/>
      <c r="F59" s="5"/>
      <c r="G59" s="4"/>
      <c r="J59" s="8"/>
      <c r="K59" s="5"/>
      <c r="L59" s="8"/>
      <c r="M59" s="5"/>
      <c r="N59" s="5"/>
      <c r="O59" s="4"/>
    </row>
    <row r="60" spans="1:16" x14ac:dyDescent="0.25">
      <c r="B60" s="8"/>
      <c r="C60" s="5"/>
      <c r="D60" s="8"/>
      <c r="E60" s="5"/>
      <c r="F60" s="5"/>
      <c r="G60" s="4"/>
      <c r="J60" s="8"/>
      <c r="K60" s="5"/>
      <c r="L60" s="8"/>
      <c r="M60" s="5"/>
      <c r="N60" s="5"/>
      <c r="O60" s="4"/>
    </row>
    <row r="61" spans="1:16" x14ac:dyDescent="0.25">
      <c r="B61" s="8"/>
      <c r="C61" s="5"/>
      <c r="D61" s="8"/>
      <c r="E61" s="5"/>
      <c r="F61" s="5"/>
      <c r="G61" s="4"/>
      <c r="J61" s="8"/>
      <c r="K61" s="5"/>
      <c r="L61" s="8"/>
      <c r="M61" s="5"/>
      <c r="N61" s="5"/>
      <c r="O61" s="4"/>
    </row>
    <row r="62" spans="1:16" x14ac:dyDescent="0.25">
      <c r="B62" s="8"/>
      <c r="C62" s="5"/>
      <c r="D62" s="8"/>
      <c r="E62" s="5"/>
      <c r="F62" s="5"/>
      <c r="G62" s="4"/>
      <c r="J62" s="8"/>
      <c r="K62" s="5"/>
      <c r="L62" s="8"/>
      <c r="M62" s="5"/>
      <c r="N62" s="5"/>
      <c r="O62" s="4"/>
    </row>
    <row r="63" spans="1:16" x14ac:dyDescent="0.25">
      <c r="B63" s="8"/>
      <c r="C63" s="5"/>
      <c r="D63" s="8"/>
      <c r="E63" s="5"/>
      <c r="F63" s="5"/>
      <c r="G63" s="4"/>
      <c r="J63" s="8"/>
      <c r="K63" s="5"/>
      <c r="L63" s="8"/>
      <c r="M63" s="5"/>
      <c r="N63" s="5"/>
      <c r="O63" s="4"/>
    </row>
    <row r="64" spans="1:16" x14ac:dyDescent="0.25">
      <c r="B64" s="8"/>
      <c r="C64" s="5"/>
      <c r="D64" s="8"/>
      <c r="E64" s="5"/>
      <c r="F64" s="5"/>
      <c r="G64" s="4"/>
      <c r="J64" s="8"/>
      <c r="K64" s="5"/>
      <c r="L64" s="8"/>
      <c r="M64" s="5"/>
      <c r="N64" s="5"/>
      <c r="O64" s="4"/>
    </row>
    <row r="65" spans="2:12" x14ac:dyDescent="0.25">
      <c r="B65" s="8"/>
      <c r="C65" s="5"/>
      <c r="D65" s="8"/>
      <c r="E65" s="5"/>
      <c r="F65" s="5"/>
      <c r="G65" s="4"/>
      <c r="J65" s="8"/>
      <c r="K65" s="5"/>
      <c r="L65" s="8"/>
    </row>
    <row r="66" spans="2:12" x14ac:dyDescent="0.25">
      <c r="B66" s="8"/>
      <c r="C66" s="5"/>
      <c r="D66" s="8"/>
      <c r="E66" s="5"/>
      <c r="F66" s="5"/>
      <c r="G66" s="4"/>
      <c r="J66" s="8"/>
      <c r="K66" s="5"/>
      <c r="L66" s="8"/>
    </row>
    <row r="67" spans="2:12" x14ac:dyDescent="0.25">
      <c r="B67" s="8"/>
      <c r="C67" s="5"/>
      <c r="D67" s="8"/>
      <c r="E67" s="5"/>
      <c r="F67" s="5"/>
      <c r="G67" s="4"/>
      <c r="J67" s="8"/>
      <c r="K67" s="5"/>
      <c r="L67" s="8"/>
    </row>
  </sheetData>
  <pageMargins left="0.7" right="0.7" top="0.75" bottom="0.75" header="0.3" footer="0.3"/>
  <pageSetup scale="71"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F63DD4229E9464FAA53965BB916A500" ma:contentTypeVersion="12" ma:contentTypeDescription="Create a new document." ma:contentTypeScope="" ma:versionID="a6b9c517ac56438139a31e5759d595fd">
  <xsd:schema xmlns:xsd="http://www.w3.org/2001/XMLSchema" xmlns:xs="http://www.w3.org/2001/XMLSchema" xmlns:p="http://schemas.microsoft.com/office/2006/metadata/properties" xmlns:ns2="61772e90-304c-44e6-8926-84ad74558ced" xmlns:ns3="330bfe82-6364-434f-bef1-1ebef30760d5" targetNamespace="http://schemas.microsoft.com/office/2006/metadata/properties" ma:root="true" ma:fieldsID="4bb1c14fc2407d615cb632e4f3625aa0" ns2:_="" ns3:_="">
    <xsd:import namespace="61772e90-304c-44e6-8926-84ad74558ced"/>
    <xsd:import namespace="330bfe82-6364-434f-bef1-1ebef30760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772e90-304c-44e6-8926-84ad74558c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5f4345e-8d67-48af-bef8-91c58d16f763"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0bfe82-6364-434f-bef1-1ebef30760d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1772e90-304c-44e6-8926-84ad74558ce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0865E9-EB12-4C5D-98DE-9DFA172EB2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772e90-304c-44e6-8926-84ad74558ced"/>
    <ds:schemaRef ds:uri="330bfe82-6364-434f-bef1-1ebef30760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A34CF2-A156-456E-8B5F-738A5A6B0566}">
  <ds:schemaRefs>
    <ds:schemaRef ds:uri="http://schemas.microsoft.com/sharepoint/v3/contenttype/forms"/>
  </ds:schemaRefs>
</ds:datastoreItem>
</file>

<file path=customXml/itemProps3.xml><?xml version="1.0" encoding="utf-8"?>
<ds:datastoreItem xmlns:ds="http://schemas.openxmlformats.org/officeDocument/2006/customXml" ds:itemID="{C648A97A-6F5C-435F-AD1F-239009AAA863}">
  <ds:schemaRefs>
    <ds:schemaRef ds:uri="http://purl.org/dc/terms/"/>
    <ds:schemaRef ds:uri="http://purl.org/dc/dcmitype/"/>
    <ds:schemaRef ds:uri="http://schemas.microsoft.com/office/2006/metadata/properties"/>
    <ds:schemaRef ds:uri="61772e90-304c-44e6-8926-84ad74558ced"/>
    <ds:schemaRef ds:uri="330bfe82-6364-434f-bef1-1ebef30760d5"/>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elements/1.1/"/>
  </ds:schemaRefs>
</ds:datastoreItem>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Department of Health and Human Services</dc:creator>
  <cp:keywords/>
  <dc:description/>
  <cp:lastModifiedBy>Arias, Caroline (ACF)</cp:lastModifiedBy>
  <cp:revision/>
  <cp:lastPrinted>2025-12-12T12:59:08Z</cp:lastPrinted>
  <dcterms:created xsi:type="dcterms:W3CDTF">2011-10-26T18:32:16Z</dcterms:created>
  <dcterms:modified xsi:type="dcterms:W3CDTF">2026-01-23T13:20:18Z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0x0101002F63DD4229E9464FAA53965BB916A500</vt:lpwstr>
  </property>
  <property fmtid="{D5CDD505-2E9C-101B-9397-08002B2CF9AE}" pid="3" name="Order">
    <vt:r8>11800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