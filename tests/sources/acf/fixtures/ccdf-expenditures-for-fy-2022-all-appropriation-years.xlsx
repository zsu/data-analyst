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fonline-my.sharepoint.com/personal/16844_icf_com/Documents/Violeta/Work-25-26/OCC/SEPTEMBER/OCCNETWORK-12994/"/>
    </mc:Choice>
  </mc:AlternateContent>
  <xr:revisionPtr revIDLastSave="511" documentId="13_ncr:1_{482EE8F5-FEF1-4A7F-A1B6-7BA6D8FA3C24}" xr6:coauthVersionLast="47" xr6:coauthVersionMax="47" xr10:uidLastSave="{4540D53E-E87F-4762-9B4B-9FD7CF5FC44D}"/>
  <bookViews>
    <workbookView xWindow="-110" yWindow="-110" windowWidth="22780" windowHeight="14540" xr2:uid="{00000000-000D-0000-FFFF-FFFF00000000}"/>
  </bookViews>
  <sheets>
    <sheet name="Table 1a" sheetId="1" r:id="rId1"/>
    <sheet name="Table 2a" sheetId="2" r:id="rId2"/>
    <sheet name="Table 3a" sheetId="3" r:id="rId3"/>
    <sheet name="Table 4a" sheetId="4" r:id="rId4"/>
  </sheets>
  <externalReferences>
    <externalReference r:id="rId5"/>
    <externalReference r:id="rId6"/>
  </externalReferences>
  <definedNames>
    <definedName name="allocation">'[1]FY18 AllocChart OCC'!$B$1:$K$57</definedName>
    <definedName name="Award">'[2]Table 2b'!$A$6:$J$62</definedName>
    <definedName name="Disc.">'[2]Table 6b'!$A$5:$N$61</definedName>
    <definedName name="Mandatory">'[2]Table 3b'!$A$5:$K$61</definedName>
    <definedName name="Match_cat.">'[2]Table 4b'!$A$5:$K$61</definedName>
    <definedName name="Match_share">'[2]Table 5b'!$A$6:$J$62</definedName>
    <definedName name="MOE_summ">'[2]Table 8b'!$A$6:$H$62</definedName>
    <definedName name="_xlnm.Print_Area" localSheetId="2">'Table 3a'!$A$1:$I$63</definedName>
    <definedName name="_xlnm.Print_Area" localSheetId="3">'Table 4a'!$A$1:$L$62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4" l="1"/>
  <c r="E62" i="4"/>
  <c r="F62" i="4"/>
  <c r="G62" i="4"/>
  <c r="H62" i="4"/>
  <c r="I62" i="4"/>
  <c r="J62" i="4"/>
  <c r="K62" i="4"/>
  <c r="E11" i="2"/>
  <c r="D26" i="2" l="1"/>
  <c r="B11" i="2" l="1"/>
  <c r="B26" i="2"/>
  <c r="I7" i="3" l="1"/>
  <c r="I62" i="3"/>
  <c r="L7" i="4" l="1"/>
  <c r="L6" i="4"/>
  <c r="E11" i="1" l="1"/>
  <c r="F63" i="3" l="1"/>
  <c r="C14" i="1" l="1"/>
  <c r="D14" i="1"/>
  <c r="E14" i="1"/>
  <c r="E15" i="1" s="1"/>
  <c r="B14" i="1"/>
  <c r="F19" i="2"/>
  <c r="F20" i="2"/>
  <c r="F21" i="2"/>
  <c r="F22" i="2"/>
  <c r="F23" i="2"/>
  <c r="F24" i="2"/>
  <c r="F25" i="2"/>
  <c r="F18" i="2"/>
  <c r="F14" i="1" l="1"/>
  <c r="F7" i="2"/>
  <c r="F8" i="2"/>
  <c r="F9" i="2"/>
  <c r="F4" i="2"/>
  <c r="F5" i="2"/>
  <c r="F6" i="2"/>
  <c r="F10" i="2"/>
  <c r="F3" i="2"/>
  <c r="E26" i="2"/>
  <c r="F4" i="1"/>
  <c r="F5" i="1"/>
  <c r="F6" i="1"/>
  <c r="F7" i="1"/>
  <c r="F8" i="1"/>
  <c r="F9" i="1"/>
  <c r="F10" i="1"/>
  <c r="F12" i="1"/>
  <c r="F13" i="1"/>
  <c r="F3" i="1"/>
  <c r="D11" i="1"/>
  <c r="C11" i="1"/>
  <c r="B11" i="1"/>
  <c r="B15" i="1" s="1"/>
  <c r="F11" i="1" l="1"/>
  <c r="F11" i="2"/>
  <c r="B63" i="3"/>
  <c r="C26" i="2" l="1"/>
  <c r="C11" i="2"/>
  <c r="D11" i="2"/>
  <c r="D15" i="1" l="1"/>
  <c r="L8" i="4" l="1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 l="1"/>
  <c r="D63" i="3"/>
  <c r="C62" i="4" l="1"/>
  <c r="B62" i="4"/>
  <c r="H63" i="3"/>
  <c r="G63" i="3"/>
  <c r="E63" i="3"/>
  <c r="C63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3" i="3" l="1"/>
  <c r="F26" i="2"/>
  <c r="C15" i="1" l="1"/>
  <c r="F15" i="1" s="1"/>
</calcChain>
</file>

<file path=xl/sharedStrings.xml><?xml version="1.0" encoding="utf-8"?>
<sst xmlns="http://schemas.openxmlformats.org/spreadsheetml/2006/main" count="194" uniqueCount="99">
  <si>
    <t>GY 2019</t>
  </si>
  <si>
    <t>GY 2020</t>
  </si>
  <si>
    <t>GY 2021</t>
  </si>
  <si>
    <t xml:space="preserve">Total by Fund </t>
  </si>
  <si>
    <t>Mandatory</t>
  </si>
  <si>
    <t>Matching Federal</t>
  </si>
  <si>
    <t>Discretionary</t>
  </si>
  <si>
    <t>Discretionary CARES</t>
  </si>
  <si>
    <t>Discretionary Disaster Relief</t>
  </si>
  <si>
    <t>Discretionary CRRSA</t>
  </si>
  <si>
    <t>ARP Supplemental</t>
  </si>
  <si>
    <t>ARP Stabilization</t>
  </si>
  <si>
    <t>Subtotal Federal</t>
  </si>
  <si>
    <t>Matching State</t>
  </si>
  <si>
    <t>CCDF MOE</t>
  </si>
  <si>
    <t>Subtotal State</t>
  </si>
  <si>
    <t>Total</t>
  </si>
  <si>
    <t>CHILD CARE AND DEVELOPMENT FUND (CCDF)</t>
  </si>
  <si>
    <t>Table 3a - ALL EXPENDITURES BY STATE - DETAILED SUMMARY</t>
  </si>
  <si>
    <t>(STATE AND FEDERAL EXPENDITURES INCLUDING MOE)</t>
  </si>
  <si>
    <t xml:space="preserve">State </t>
  </si>
  <si>
    <t>Admin</t>
  </si>
  <si>
    <t>Quality Activities</t>
  </si>
  <si>
    <t>Infant/Toddler Quality Funds</t>
  </si>
  <si>
    <t>Direct 
Services</t>
  </si>
  <si>
    <t>N-Dir Svcs Systems</t>
  </si>
  <si>
    <t>N-Dir Svcs Cert Prog Elig/Det</t>
  </si>
  <si>
    <t>N-Dir Svcs 
All Other</t>
  </si>
  <si>
    <t>Total Expenditures</t>
  </si>
  <si>
    <t>Alabama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</si>
  <si>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</si>
  <si>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</si>
  <si>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</si>
  <si>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</si>
  <si>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</si>
  <si>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</si>
  <si>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</si>
  <si>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</si>
  <si>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</si>
  <si>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 xml:space="preserve">Florida 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</si>
  <si>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</si>
  <si>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</si>
  <si>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</si>
  <si>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</si>
  <si>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</si>
  <si>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</si>
  <si>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</si>
  <si>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</si>
  <si>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</si>
  <si>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</si>
  <si>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</si>
  <si>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</si>
  <si>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</si>
  <si>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</si>
  <si>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</si>
  <si>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</si>
  <si>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</si>
  <si>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</si>
  <si>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</si>
  <si>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</si>
  <si>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</si>
  <si>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</si>
  <si>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</si>
  <si>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 xml:space="preserve">New York </t>
  </si>
  <si>
    <t>North Carolina</t>
  </si>
  <si>
    <t>North Dakota</t>
  </si>
  <si>
    <t>Northern Mariana Islands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</si>
  <si>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</si>
  <si>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</si>
  <si>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</si>
  <si>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</si>
  <si>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</si>
  <si>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</si>
  <si>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</si>
  <si>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</si>
  <si>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</si>
  <si>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</si>
  <si>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</si>
  <si>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</si>
  <si>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</si>
  <si>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</si>
  <si>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</si>
  <si>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</si>
  <si>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</si>
  <si>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</si>
  <si>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Table 4a - ALL EXPENDITURES BY STATE - CATEGORICAL SUMMARY</t>
  </si>
  <si>
    <t>State</t>
  </si>
  <si>
    <t>Federal Match</t>
  </si>
  <si>
    <t>State Match</t>
  </si>
  <si>
    <t>MOE</t>
  </si>
  <si>
    <t xml:space="preserve"> </t>
  </si>
  <si>
    <t>1/  ARP Stabilization is not included in total for the state-by-state detailed summary. See Table 1a for ARP Stablization-specific categories.</t>
  </si>
  <si>
    <t>Table 1a - Expenditures in FY 2022 by Award Year</t>
  </si>
  <si>
    <r>
      <t>GY 2019</t>
    </r>
    <r>
      <rPr>
        <sz val="10"/>
        <color rgb="FF000000"/>
        <rFont val="Arial"/>
        <family val="2"/>
      </rPr>
      <t>/1</t>
    </r>
  </si>
  <si>
    <t>/1 GY 2019 is included because some states and territories received fiscal waivers to extend the liquidation period for their GY 2019 funds.</t>
  </si>
  <si>
    <t>GY 2022</t>
  </si>
  <si>
    <t>FISCAL YEAR 2022</t>
  </si>
  <si>
    <t>Table 2a - Unliquidated Funds as of 09/30/22</t>
  </si>
  <si>
    <t>Unobligated Funds as of 9/30/22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</si>
</sst>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rgb="FF000000"/>
      <name val="Times"/>
    </font>
    <font>
      <u/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left" wrapText="1" readingOrder="1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6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vertical="center" wrapText="1" readingOrder="1"/>
    </xf>
    <xf numFmtId="6" fontId="4" fillId="0" borderId="0" xfId="0" applyNumberFormat="1" applyFont="1" applyAlignment="1">
      <alignment horizontal="right" wrapText="1" readingOrder="1"/>
    </xf>
    <xf numFmtId="6" fontId="2" fillId="0" borderId="0" xfId="0" applyNumberFormat="1" applyFont="1"/>
    <xf numFmtId="6" fontId="1" fillId="0" borderId="0" xfId="0" applyNumberFormat="1" applyFont="1" applyAlignment="1">
      <alignment horizontal="right" readingOrder="1"/>
    </xf>
    <xf numFmtId="6" fontId="3" fillId="0" borderId="0" xfId="0" applyNumberFormat="1" applyFont="1"/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6" fontId="4" fillId="0" borderId="1" xfId="0" applyNumberFormat="1" applyFont="1" applyBorder="1" applyAlignment="1">
      <alignment horizontal="right" wrapText="1" readingOrder="1"/>
    </xf>
    <xf numFmtId="6" fontId="1" fillId="0" borderId="1" xfId="0" applyNumberFormat="1" applyFont="1" applyBorder="1" applyAlignment="1">
      <alignment horizontal="right" readingOrder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6" fontId="1" fillId="0" borderId="0" xfId="0" applyNumberFormat="1" applyFont="1" applyAlignment="1">
      <alignment horizontal="right" wrapText="1" readingOrder="1"/>
    </xf>
    <xf numFmtId="164" fontId="2" fillId="0" borderId="0" xfId="0" applyNumberFormat="1" applyFont="1"/>
    <xf numFmtId="6" fontId="0" fillId="0" borderId="0" xfId="0" applyNumberForma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6" fontId="8" fillId="0" borderId="1" xfId="0" applyNumberFormat="1" applyFont="1" applyBorder="1" applyAlignment="1">
      <alignment wrapText="1" readingOrder="1"/>
    </xf>
    <xf numFmtId="6" fontId="1" fillId="0" borderId="1" xfId="0" applyNumberFormat="1" applyFont="1" applyBorder="1" applyAlignment="1">
      <alignment horizontal="right" wrapText="1" readingOrder="1"/>
    </xf>
    <xf numFmtId="8" fontId="2" fillId="0" borderId="0" xfId="0" applyNumberFormat="1" applyFont="1"/>
    <xf numFmtId="0" fontId="4" fillId="0" borderId="2" xfId="0" applyFont="1" applyBorder="1" applyAlignment="1">
      <alignment horizontal="left" wrapText="1" readingOrder="1"/>
    </xf>
    <xf numFmtId="0" fontId="1" fillId="0" borderId="4" xfId="0" applyFont="1" applyBorder="1" applyAlignment="1">
      <alignment horizontal="center" wrapText="1" readingOrder="1"/>
    </xf>
    <xf numFmtId="164" fontId="11" fillId="0" borderId="1" xfId="0" applyNumberFormat="1" applyFont="1" applyBorder="1" applyAlignment="1">
      <alignment horizontal="right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/>
    </xf>
    <xf numFmtId="164" fontId="0" fillId="0" borderId="0" xfId="0" applyNumberFormat="1"/>
    <xf numFmtId="164" fontId="2" fillId="0" borderId="3" xfId="0" applyNumberFormat="1" applyFont="1" applyBorder="1" applyAlignment="1">
      <alignment readingOrder="1"/>
    </xf>
    <xf numFmtId="164" fontId="11" fillId="3" borderId="1" xfId="0" applyNumberFormat="1" applyFont="1" applyFill="1" applyBorder="1" applyAlignment="1">
      <alignment horizontal="right" wrapText="1" readingOrder="1"/>
    </xf>
    <xf numFmtId="164" fontId="9" fillId="0" borderId="1" xfId="0" applyNumberFormat="1" applyFont="1" applyBorder="1" applyAlignment="1">
      <alignment horizontal="right" wrapText="1" readingOrder="1"/>
    </xf>
    <xf numFmtId="164" fontId="3" fillId="0" borderId="1" xfId="0" applyNumberFormat="1" applyFont="1" applyBorder="1" applyAlignment="1">
      <alignment readingOrder="1"/>
    </xf>
    <xf numFmtId="0" fontId="5" fillId="0" borderId="1" xfId="0" applyFont="1" applyBorder="1" applyAlignment="1">
      <alignment horizontal="left" wrapText="1" readingOrder="1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6" fontId="6" fillId="0" borderId="0" xfId="0" applyNumberFormat="1" applyFont="1" applyAlignment="1">
      <alignment readingOrder="1"/>
    </xf>
    <xf numFmtId="164" fontId="13" fillId="0" borderId="1" xfId="1" applyNumberFormat="1" applyFont="1" applyBorder="1" applyAlignment="1">
      <alignment horizontal="right" vertical="top"/>
    </xf>
    <xf numFmtId="164" fontId="12" fillId="0" borderId="1" xfId="1" applyNumberFormat="1" applyFont="1" applyBorder="1" applyAlignment="1">
      <alignment horizontal="right" vertical="top"/>
    </xf>
    <xf numFmtId="164" fontId="13" fillId="0" borderId="1" xfId="1" applyNumberFormat="1" applyFont="1" applyFill="1" applyBorder="1" applyAlignment="1">
      <alignment horizontal="right" vertical="top"/>
    </xf>
    <xf numFmtId="164" fontId="4" fillId="0" borderId="3" xfId="0" applyNumberFormat="1" applyFont="1" applyBorder="1" applyAlignment="1">
      <alignment horizontal="right" wrapText="1" readingOrder="1"/>
    </xf>
    <xf numFmtId="0" fontId="14" fillId="0" borderId="1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right" readingOrder="1"/>
    </xf>
    <xf numFmtId="0" fontId="1" fillId="0" borderId="1" xfId="0" applyFont="1" applyBorder="1" applyAlignment="1">
      <alignment horizontal="center" wrapText="1" readingOrder="1"/>
    </xf>
    <xf numFmtId="3" fontId="2" fillId="0" borderId="0" xfId="0" applyNumberFormat="1" applyFont="1"/>
    <xf numFmtId="9" fontId="2" fillId="0" borderId="0" xfId="2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4" fontId="13" fillId="0" borderId="1" xfId="0" applyNumberFormat="1" applyFont="1" applyBorder="1"/>
    <xf numFmtId="3" fontId="15" fillId="0" borderId="0" xfId="0" applyNumberFormat="1" applyFont="1"/>
    <xf numFmtId="165" fontId="2" fillId="0" borderId="0" xfId="0" applyNumberFormat="1" applyFont="1"/>
    <xf numFmtId="164" fontId="2" fillId="0" borderId="0" xfId="2" applyNumberFormat="1" applyFont="1"/>
    <xf numFmtId="164" fontId="2" fillId="0" borderId="0" xfId="3" applyNumberFormat="1" applyFont="1"/>
    <xf numFmtId="6" fontId="2" fillId="0" borderId="0" xfId="2" applyNumberFormat="1" applyFont="1"/>
    <xf numFmtId="0" fontId="2" fillId="4" borderId="0" xfId="0" applyFont="1" applyFill="1" applyAlignment="1">
      <alignment horizontal="centerContinuous"/>
    </xf>
    <xf numFmtId="0" fontId="3" fillId="0" borderId="0" xfId="0" applyFont="1"/>
    <xf numFmtId="164" fontId="2" fillId="0" borderId="1" xfId="0" applyNumberFormat="1" applyFont="1" applyBorder="1"/>
    <xf numFmtId="0" fontId="1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wrapText="1" readingOrder="1"/>
    </xf>
    <xf numFmtId="0" fontId="1" fillId="0" borderId="0" xfId="0" applyFont="1" applyAlignment="1">
      <alignment horizontal="left" wrapText="1" readingOrder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OCC%20-%20Expenditures\FY%202018-Working\Spending%20requirements%20as%20of%209.30.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OCC%20-%20Expenditures\FY%202018-Working\Working_FY%202018%20Expenditures%20as%20of%209.30.18%20(For%20Clearanc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YEARS Pie chart"/>
      <sheetName val="FY18 Validation"/>
      <sheetName val="FY18 Admin"/>
      <sheetName val="FY18 InfantToddler"/>
      <sheetName val="FY18 Quality"/>
      <sheetName val="FY18 Excess match"/>
      <sheetName val="FY18 AllocChart OCC"/>
    </sheetNames>
    <sheetDataSet>
      <sheetData sheetId="0">
        <row r="2">
          <cell r="B2">
            <v>9190361775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B1" t="str">
            <v>State Name</v>
          </cell>
          <cell r="C1" t="str">
            <v>State Mandatory Allocation</v>
          </cell>
          <cell r="D1" t="str">
            <v>Federal Share of Matching</v>
          </cell>
          <cell r="E1" t="str">
            <v>FY 2017 funds Redistributed in FY 2018</v>
          </cell>
          <cell r="F1" t="str">
            <v>Federal Share of Matching 2</v>
          </cell>
          <cell r="G1" t="str">
            <v xml:space="preserve">State MOE </v>
          </cell>
          <cell r="H1" t="str">
            <v>FY 2018 FMAP Rate</v>
          </cell>
          <cell r="I1" t="str">
            <v>State Share Matching Funds</v>
          </cell>
          <cell r="J1" t="str">
            <v>Discretionary 3</v>
          </cell>
          <cell r="K1" t="str">
            <v>Total Federal-Only Funds 4</v>
          </cell>
        </row>
        <row r="2">
          <cell r="B2" t="str">
            <v>Alabama</v>
          </cell>
          <cell r="C2">
            <v>16441707</v>
          </cell>
          <cell r="D2">
            <v>24673636</v>
          </cell>
          <cell r="E2">
            <v>0</v>
          </cell>
          <cell r="F2">
            <v>24673636</v>
          </cell>
          <cell r="G2">
            <v>6896417</v>
          </cell>
          <cell r="H2">
            <v>0.71439999999999992</v>
          </cell>
          <cell r="I2">
            <v>9863928</v>
          </cell>
          <cell r="J2">
            <v>93652687</v>
          </cell>
          <cell r="K2">
            <v>134768030</v>
          </cell>
        </row>
        <row r="3">
          <cell r="B3" t="str">
            <v>Alaska</v>
          </cell>
          <cell r="C3">
            <v>3544811</v>
          </cell>
          <cell r="D3">
            <v>4315556</v>
          </cell>
          <cell r="E3">
            <v>0</v>
          </cell>
          <cell r="F3">
            <v>4315556</v>
          </cell>
          <cell r="G3">
            <v>3544811</v>
          </cell>
          <cell r="H3">
            <v>0.5</v>
          </cell>
          <cell r="I3">
            <v>4315556</v>
          </cell>
          <cell r="J3">
            <v>9252713</v>
          </cell>
          <cell r="K3">
            <v>17113080</v>
          </cell>
        </row>
        <row r="4">
          <cell r="B4" t="str">
            <v>American Samoa</v>
          </cell>
          <cell r="E4" t="str">
            <v xml:space="preserve"> </v>
          </cell>
          <cell r="J4">
            <v>6835282</v>
          </cell>
          <cell r="K4">
            <v>6835282</v>
          </cell>
        </row>
        <row r="5">
          <cell r="B5" t="str">
            <v>Arizona</v>
          </cell>
          <cell r="C5">
            <v>19827025</v>
          </cell>
          <cell r="D5">
            <v>36696600</v>
          </cell>
          <cell r="E5">
            <v>1433188</v>
          </cell>
          <cell r="F5">
            <v>38129788</v>
          </cell>
          <cell r="G5">
            <v>10032936</v>
          </cell>
          <cell r="H5">
            <v>0.69889999999999997</v>
          </cell>
          <cell r="I5">
            <v>16427070</v>
          </cell>
          <cell r="J5">
            <v>127027591</v>
          </cell>
          <cell r="K5">
            <v>184984404</v>
          </cell>
        </row>
        <row r="6">
          <cell r="B6" t="str">
            <v>Arkansas</v>
          </cell>
          <cell r="C6">
            <v>5300283</v>
          </cell>
          <cell r="D6">
            <v>15971037</v>
          </cell>
          <cell r="E6">
            <v>623750</v>
          </cell>
          <cell r="F6">
            <v>16594787</v>
          </cell>
          <cell r="G6">
            <v>1886543</v>
          </cell>
          <cell r="H6">
            <v>0.7087</v>
          </cell>
          <cell r="I6">
            <v>6821026</v>
          </cell>
          <cell r="J6">
            <v>59182433</v>
          </cell>
          <cell r="K6">
            <v>81077503</v>
          </cell>
        </row>
        <row r="7">
          <cell r="B7" t="str">
            <v>California</v>
          </cell>
          <cell r="C7">
            <v>85593217</v>
          </cell>
          <cell r="D7">
            <v>206960007</v>
          </cell>
          <cell r="E7">
            <v>8082837</v>
          </cell>
          <cell r="F7">
            <v>215042844</v>
          </cell>
          <cell r="G7">
            <v>85593217</v>
          </cell>
          <cell r="H7">
            <v>0.5</v>
          </cell>
          <cell r="I7">
            <v>215042843</v>
          </cell>
          <cell r="J7">
            <v>533253621</v>
          </cell>
          <cell r="K7">
            <v>833889682</v>
          </cell>
        </row>
        <row r="8">
          <cell r="B8" t="str">
            <v>Colorado</v>
          </cell>
          <cell r="C8">
            <v>10173800</v>
          </cell>
          <cell r="D8">
            <v>28614301</v>
          </cell>
          <cell r="E8">
            <v>1117533</v>
          </cell>
          <cell r="F8">
            <v>29731834</v>
          </cell>
          <cell r="G8">
            <v>8985901</v>
          </cell>
          <cell r="H8">
            <v>0.5</v>
          </cell>
          <cell r="I8">
            <v>29731834</v>
          </cell>
          <cell r="J8">
            <v>62658526</v>
          </cell>
          <cell r="K8">
            <v>102564160</v>
          </cell>
        </row>
        <row r="9">
          <cell r="B9" t="str">
            <v>Connecticut</v>
          </cell>
          <cell r="C9">
            <v>18738357</v>
          </cell>
          <cell r="D9">
            <v>16618286</v>
          </cell>
          <cell r="E9">
            <v>0</v>
          </cell>
          <cell r="F9">
            <v>16618286</v>
          </cell>
          <cell r="G9">
            <v>18738358</v>
          </cell>
          <cell r="H9">
            <v>0.5</v>
          </cell>
          <cell r="I9">
            <v>16618286</v>
          </cell>
          <cell r="J9">
            <v>32538702</v>
          </cell>
          <cell r="K9">
            <v>67895345</v>
          </cell>
        </row>
        <row r="10">
          <cell r="B10" t="str">
            <v>Delaware</v>
          </cell>
          <cell r="C10">
            <v>5179330</v>
          </cell>
          <cell r="D10">
            <v>4624540</v>
          </cell>
          <cell r="E10">
            <v>0</v>
          </cell>
          <cell r="F10">
            <v>4624540</v>
          </cell>
          <cell r="G10">
            <v>5179325</v>
          </cell>
          <cell r="H10">
            <v>0.56430000000000002</v>
          </cell>
          <cell r="I10">
            <v>3570640</v>
          </cell>
          <cell r="J10">
            <v>13505849</v>
          </cell>
          <cell r="K10">
            <v>23309719</v>
          </cell>
        </row>
        <row r="11">
          <cell r="B11" t="str">
            <v>District of Columbia</v>
          </cell>
          <cell r="C11">
            <v>4566974</v>
          </cell>
          <cell r="D11">
            <v>2911593</v>
          </cell>
          <cell r="E11">
            <v>0</v>
          </cell>
          <cell r="F11">
            <v>2911593</v>
          </cell>
          <cell r="G11">
            <v>4566972</v>
          </cell>
          <cell r="H11">
            <v>0.7</v>
          </cell>
          <cell r="I11">
            <v>1247826</v>
          </cell>
          <cell r="J11">
            <v>8269354</v>
          </cell>
          <cell r="K11">
            <v>15747921</v>
          </cell>
        </row>
        <row r="12">
          <cell r="B12" t="str">
            <v>Florida</v>
          </cell>
          <cell r="C12">
            <v>43026524</v>
          </cell>
          <cell r="D12">
            <v>91997705</v>
          </cell>
          <cell r="E12">
            <v>3592976</v>
          </cell>
          <cell r="F12">
            <v>95590681</v>
          </cell>
          <cell r="G12">
            <v>33415872</v>
          </cell>
          <cell r="H12">
            <v>0.6179</v>
          </cell>
          <cell r="I12">
            <v>59111829</v>
          </cell>
          <cell r="J12">
            <v>305214860</v>
          </cell>
          <cell r="K12">
            <v>443832065</v>
          </cell>
        </row>
        <row r="13">
          <cell r="B13" t="str">
            <v>Georgia</v>
          </cell>
          <cell r="C13">
            <v>36548223</v>
          </cell>
          <cell r="D13">
            <v>56444971</v>
          </cell>
          <cell r="E13">
            <v>2204462</v>
          </cell>
          <cell r="F13">
            <v>58649433</v>
          </cell>
          <cell r="G13">
            <v>22182651</v>
          </cell>
          <cell r="H13">
            <v>0.68500000000000005</v>
          </cell>
          <cell r="I13">
            <v>26970177</v>
          </cell>
          <cell r="J13">
            <v>210077705</v>
          </cell>
          <cell r="K13">
            <v>305275361</v>
          </cell>
        </row>
        <row r="14">
          <cell r="B14" t="str">
            <v>Guam</v>
          </cell>
          <cell r="J14">
            <v>9849176</v>
          </cell>
          <cell r="K14">
            <v>9849176</v>
          </cell>
        </row>
        <row r="15">
          <cell r="B15" t="str">
            <v>Hawaii</v>
          </cell>
          <cell r="C15">
            <v>4971633</v>
          </cell>
          <cell r="D15">
            <v>7257124</v>
          </cell>
          <cell r="E15">
            <v>0</v>
          </cell>
          <cell r="F15">
            <v>7257124</v>
          </cell>
          <cell r="G15">
            <v>4971630</v>
          </cell>
          <cell r="H15">
            <v>0.54780000000000006</v>
          </cell>
          <cell r="I15">
            <v>5990638</v>
          </cell>
          <cell r="J15">
            <v>17833367</v>
          </cell>
          <cell r="K15">
            <v>30062124</v>
          </cell>
        </row>
        <row r="16">
          <cell r="B16" t="str">
            <v>Idaho</v>
          </cell>
          <cell r="C16">
            <v>2867578</v>
          </cell>
          <cell r="D16">
            <v>9800257</v>
          </cell>
          <cell r="E16">
            <v>0</v>
          </cell>
          <cell r="F16">
            <v>9800257</v>
          </cell>
          <cell r="G16">
            <v>1175819</v>
          </cell>
          <cell r="H16">
            <v>0.7117</v>
          </cell>
          <cell r="I16">
            <v>3969951</v>
          </cell>
          <cell r="J16">
            <v>29793635</v>
          </cell>
          <cell r="K16">
            <v>42461470</v>
          </cell>
        </row>
        <row r="17">
          <cell r="B17" t="str">
            <v>Illinois</v>
          </cell>
          <cell r="C17">
            <v>56873824</v>
          </cell>
          <cell r="D17">
            <v>66328691</v>
          </cell>
          <cell r="E17">
            <v>0</v>
          </cell>
          <cell r="F17">
            <v>66328691</v>
          </cell>
          <cell r="G17">
            <v>56873825</v>
          </cell>
          <cell r="H17">
            <v>0.50740000000000007</v>
          </cell>
          <cell r="I17">
            <v>64393995</v>
          </cell>
          <cell r="J17">
            <v>172945742</v>
          </cell>
          <cell r="K17">
            <v>296148257</v>
          </cell>
        </row>
        <row r="18">
          <cell r="B18" t="str">
            <v>Indiana</v>
          </cell>
          <cell r="C18">
            <v>26181999</v>
          </cell>
          <cell r="D18">
            <v>35447933</v>
          </cell>
          <cell r="E18">
            <v>1384421</v>
          </cell>
          <cell r="F18">
            <v>36832354</v>
          </cell>
          <cell r="G18">
            <v>15356947</v>
          </cell>
          <cell r="H18">
            <v>0.65590000000000004</v>
          </cell>
          <cell r="I18">
            <v>19323087</v>
          </cell>
          <cell r="J18">
            <v>113903167</v>
          </cell>
          <cell r="K18">
            <v>176917520</v>
          </cell>
        </row>
        <row r="19">
          <cell r="B19" t="str">
            <v>Iowa</v>
          </cell>
          <cell r="C19">
            <v>8507792</v>
          </cell>
          <cell r="D19">
            <v>16531482</v>
          </cell>
          <cell r="E19">
            <v>645638</v>
          </cell>
          <cell r="F19">
            <v>17177120</v>
          </cell>
          <cell r="G19">
            <v>5078586</v>
          </cell>
          <cell r="H19">
            <v>0.58479999999999999</v>
          </cell>
          <cell r="I19">
            <v>12195520</v>
          </cell>
          <cell r="J19">
            <v>43740812</v>
          </cell>
          <cell r="K19">
            <v>69425724</v>
          </cell>
        </row>
        <row r="20">
          <cell r="B20" t="str">
            <v>Kansas</v>
          </cell>
          <cell r="C20">
            <v>9811721</v>
          </cell>
          <cell r="D20">
            <v>16404238</v>
          </cell>
          <cell r="E20">
            <v>0</v>
          </cell>
          <cell r="F20">
            <v>16404238</v>
          </cell>
          <cell r="G20">
            <v>6673024</v>
          </cell>
          <cell r="H20">
            <v>0.5474</v>
          </cell>
          <cell r="I20">
            <v>13563314</v>
          </cell>
          <cell r="J20">
            <v>44983540</v>
          </cell>
          <cell r="K20">
            <v>71199499</v>
          </cell>
        </row>
        <row r="21">
          <cell r="B21" t="str">
            <v>Kentucky</v>
          </cell>
          <cell r="C21">
            <v>16701653</v>
          </cell>
          <cell r="D21">
            <v>22889676</v>
          </cell>
          <cell r="E21">
            <v>893958</v>
          </cell>
          <cell r="F21">
            <v>23783634</v>
          </cell>
          <cell r="G21">
            <v>7274537</v>
          </cell>
          <cell r="H21">
            <v>0.7117</v>
          </cell>
          <cell r="I21">
            <v>9634427</v>
          </cell>
          <cell r="J21">
            <v>94217300</v>
          </cell>
          <cell r="K21">
            <v>134702587</v>
          </cell>
        </row>
        <row r="22">
          <cell r="B22" t="str">
            <v>Louisiana</v>
          </cell>
          <cell r="C22">
            <v>13864552</v>
          </cell>
          <cell r="D22">
            <v>25410966</v>
          </cell>
          <cell r="E22">
            <v>992427</v>
          </cell>
          <cell r="F22">
            <v>26403393</v>
          </cell>
          <cell r="G22">
            <v>5219488</v>
          </cell>
          <cell r="H22">
            <v>0.63690000000000002</v>
          </cell>
          <cell r="I22">
            <v>15052712</v>
          </cell>
          <cell r="J22">
            <v>90419187</v>
          </cell>
          <cell r="K22">
            <v>130687132</v>
          </cell>
        </row>
        <row r="23">
          <cell r="B23" t="str">
            <v>Maine</v>
          </cell>
          <cell r="C23">
            <v>3018598</v>
          </cell>
          <cell r="D23">
            <v>5634291</v>
          </cell>
          <cell r="E23">
            <v>0</v>
          </cell>
          <cell r="F23">
            <v>5634291</v>
          </cell>
          <cell r="G23">
            <v>1749818</v>
          </cell>
          <cell r="H23">
            <v>0.64340000000000008</v>
          </cell>
          <cell r="I23">
            <v>3122767</v>
          </cell>
          <cell r="J23">
            <v>16030039</v>
          </cell>
          <cell r="K23">
            <v>24682928</v>
          </cell>
        </row>
        <row r="24">
          <cell r="B24" t="str">
            <v>Maryland</v>
          </cell>
          <cell r="C24">
            <v>23301407</v>
          </cell>
          <cell r="D24">
            <v>30489635</v>
          </cell>
          <cell r="E24">
            <v>0</v>
          </cell>
          <cell r="F24">
            <v>30489635</v>
          </cell>
          <cell r="G24">
            <v>23301407</v>
          </cell>
          <cell r="H24">
            <v>0.5</v>
          </cell>
          <cell r="I24">
            <v>30489635</v>
          </cell>
          <cell r="J24">
            <v>64637515</v>
          </cell>
          <cell r="K24">
            <v>118428557</v>
          </cell>
        </row>
        <row r="25">
          <cell r="B25" t="str">
            <v>Massachusetts</v>
          </cell>
          <cell r="C25">
            <v>44973373</v>
          </cell>
          <cell r="D25">
            <v>30764736</v>
          </cell>
          <cell r="E25">
            <v>1201519</v>
          </cell>
          <cell r="F25">
            <v>31966255</v>
          </cell>
          <cell r="G25">
            <v>44973368</v>
          </cell>
          <cell r="H25">
            <v>0.5</v>
          </cell>
          <cell r="I25">
            <v>31966255</v>
          </cell>
          <cell r="J25">
            <v>64000306</v>
          </cell>
          <cell r="K25">
            <v>140939934</v>
          </cell>
        </row>
        <row r="26">
          <cell r="B26" t="str">
            <v>Michigan</v>
          </cell>
          <cell r="C26">
            <v>32081922</v>
          </cell>
          <cell r="D26">
            <v>48724167</v>
          </cell>
          <cell r="E26">
            <v>0</v>
          </cell>
          <cell r="F26">
            <v>48724167</v>
          </cell>
          <cell r="G26">
            <v>24411364</v>
          </cell>
          <cell r="H26">
            <v>0.64780000000000004</v>
          </cell>
          <cell r="I26">
            <v>26490663</v>
          </cell>
          <cell r="J26">
            <v>146977312</v>
          </cell>
          <cell r="K26">
            <v>227783401</v>
          </cell>
        </row>
        <row r="27">
          <cell r="B27" t="str">
            <v>Minnesota</v>
          </cell>
          <cell r="C27">
            <v>23367543</v>
          </cell>
          <cell r="D27">
            <v>29250329</v>
          </cell>
          <cell r="E27">
            <v>1000000</v>
          </cell>
          <cell r="F27">
            <v>30250329</v>
          </cell>
          <cell r="G27">
            <v>19690299</v>
          </cell>
          <cell r="H27">
            <v>0.5</v>
          </cell>
          <cell r="I27">
            <v>30250329</v>
          </cell>
          <cell r="J27">
            <v>68135880</v>
          </cell>
          <cell r="K27">
            <v>121753752</v>
          </cell>
        </row>
        <row r="28">
          <cell r="B28" t="str">
            <v>Mississippi</v>
          </cell>
          <cell r="C28">
            <v>6293116</v>
          </cell>
          <cell r="D28">
            <v>16421511</v>
          </cell>
          <cell r="E28">
            <v>0</v>
          </cell>
          <cell r="F28">
            <v>16421511</v>
          </cell>
          <cell r="G28">
            <v>1715430</v>
          </cell>
          <cell r="H28">
            <v>0.75650000000000006</v>
          </cell>
          <cell r="I28">
            <v>5285708</v>
          </cell>
          <cell r="J28">
            <v>68985424</v>
          </cell>
          <cell r="K28">
            <v>91700051</v>
          </cell>
        </row>
        <row r="29">
          <cell r="B29" t="str">
            <v>Missouri</v>
          </cell>
          <cell r="C29">
            <v>24668568</v>
          </cell>
          <cell r="D29">
            <v>31383743</v>
          </cell>
          <cell r="E29">
            <v>1225694</v>
          </cell>
          <cell r="F29">
            <v>32609437</v>
          </cell>
          <cell r="G29">
            <v>16548755</v>
          </cell>
          <cell r="H29">
            <v>0.64610000000000001</v>
          </cell>
          <cell r="I29">
            <v>17861755</v>
          </cell>
          <cell r="J29">
            <v>94586142</v>
          </cell>
          <cell r="K29">
            <v>151864147</v>
          </cell>
        </row>
        <row r="30">
          <cell r="B30" t="str">
            <v>Montana</v>
          </cell>
          <cell r="C30">
            <v>3190691</v>
          </cell>
          <cell r="D30">
            <v>5156806</v>
          </cell>
          <cell r="E30">
            <v>201399</v>
          </cell>
          <cell r="F30">
            <v>5358205</v>
          </cell>
          <cell r="G30">
            <v>1313990</v>
          </cell>
          <cell r="H30">
            <v>0.65379999999999994</v>
          </cell>
          <cell r="I30">
            <v>2837275</v>
          </cell>
          <cell r="J30">
            <v>14598891</v>
          </cell>
          <cell r="K30">
            <v>23147787</v>
          </cell>
        </row>
        <row r="31">
          <cell r="B31" t="str">
            <v>Nebraska</v>
          </cell>
          <cell r="C31">
            <v>10594637</v>
          </cell>
          <cell r="D31">
            <v>10810607</v>
          </cell>
          <cell r="E31">
            <v>0</v>
          </cell>
          <cell r="F31">
            <v>10810607</v>
          </cell>
          <cell r="G31">
            <v>6498998</v>
          </cell>
          <cell r="H31">
            <v>0.52549999999999997</v>
          </cell>
          <cell r="I31">
            <v>9761433</v>
          </cell>
          <cell r="J31">
            <v>27924681</v>
          </cell>
          <cell r="K31">
            <v>49329925</v>
          </cell>
        </row>
        <row r="32">
          <cell r="B32" t="str">
            <v>Nevada</v>
          </cell>
          <cell r="C32">
            <v>2580422</v>
          </cell>
          <cell r="D32">
            <v>15196514</v>
          </cell>
          <cell r="E32">
            <v>0</v>
          </cell>
          <cell r="F32">
            <v>15196514</v>
          </cell>
          <cell r="G32">
            <v>2580421</v>
          </cell>
          <cell r="H32">
            <v>0.65749999999999997</v>
          </cell>
          <cell r="I32">
            <v>7916055</v>
          </cell>
          <cell r="J32">
            <v>47048321</v>
          </cell>
          <cell r="K32">
            <v>64825257</v>
          </cell>
        </row>
        <row r="33">
          <cell r="B33" t="str">
            <v>New Hampshire</v>
          </cell>
          <cell r="C33">
            <v>4581870</v>
          </cell>
          <cell r="D33">
            <v>5729164</v>
          </cell>
          <cell r="E33">
            <v>223753</v>
          </cell>
          <cell r="F33">
            <v>5952917</v>
          </cell>
          <cell r="G33">
            <v>4581866</v>
          </cell>
          <cell r="H33">
            <v>0.5</v>
          </cell>
          <cell r="I33">
            <v>5952917</v>
          </cell>
          <cell r="J33">
            <v>10344510</v>
          </cell>
          <cell r="K33">
            <v>20879297</v>
          </cell>
        </row>
        <row r="34">
          <cell r="B34" t="str">
            <v>New Jersey</v>
          </cell>
          <cell r="C34">
            <v>26374178</v>
          </cell>
          <cell r="D34">
            <v>44613990</v>
          </cell>
          <cell r="E34">
            <v>1742402</v>
          </cell>
          <cell r="F34">
            <v>46356392</v>
          </cell>
          <cell r="G34">
            <v>26374178</v>
          </cell>
          <cell r="H34">
            <v>0.5</v>
          </cell>
          <cell r="I34">
            <v>46356392</v>
          </cell>
          <cell r="J34">
            <v>89707366</v>
          </cell>
          <cell r="K34">
            <v>162437936</v>
          </cell>
        </row>
        <row r="35">
          <cell r="B35" t="str">
            <v>New Mexico</v>
          </cell>
          <cell r="C35">
            <v>8307587</v>
          </cell>
          <cell r="D35">
            <v>11297990</v>
          </cell>
          <cell r="E35">
            <v>441244</v>
          </cell>
          <cell r="F35">
            <v>11739234</v>
          </cell>
          <cell r="G35">
            <v>2895259</v>
          </cell>
          <cell r="H35">
            <v>0.72160000000000002</v>
          </cell>
          <cell r="I35">
            <v>4529106</v>
          </cell>
          <cell r="J35">
            <v>42666289</v>
          </cell>
          <cell r="K35">
            <v>62713110</v>
          </cell>
        </row>
        <row r="36">
          <cell r="B36" t="str">
            <v>New York</v>
          </cell>
          <cell r="C36">
            <v>101983998</v>
          </cell>
          <cell r="D36">
            <v>94997993</v>
          </cell>
          <cell r="E36">
            <v>3710153</v>
          </cell>
          <cell r="F36">
            <v>98708146</v>
          </cell>
          <cell r="G36">
            <v>101983998</v>
          </cell>
          <cell r="H36">
            <v>0.5</v>
          </cell>
          <cell r="I36">
            <v>98708146</v>
          </cell>
          <cell r="J36">
            <v>224600153</v>
          </cell>
          <cell r="K36">
            <v>425292297</v>
          </cell>
        </row>
        <row r="37">
          <cell r="B37" t="str">
            <v>North Carolina</v>
          </cell>
          <cell r="C37">
            <v>69639228</v>
          </cell>
          <cell r="D37">
            <v>51559199</v>
          </cell>
          <cell r="E37">
            <v>2013648</v>
          </cell>
          <cell r="F37">
            <v>53572847</v>
          </cell>
          <cell r="G37">
            <v>37927282</v>
          </cell>
          <cell r="H37">
            <v>0.67610000000000003</v>
          </cell>
          <cell r="I37">
            <v>25665205</v>
          </cell>
          <cell r="J37">
            <v>170411942</v>
          </cell>
          <cell r="K37">
            <v>293624017</v>
          </cell>
        </row>
        <row r="38">
          <cell r="B38" t="str">
            <v>North Dakota</v>
          </cell>
          <cell r="C38">
            <v>2506022</v>
          </cell>
          <cell r="D38">
            <v>4110145</v>
          </cell>
          <cell r="E38">
            <v>160522</v>
          </cell>
          <cell r="F38">
            <v>4270667</v>
          </cell>
          <cell r="G38">
            <v>1017036</v>
          </cell>
          <cell r="H38">
            <v>0.5</v>
          </cell>
          <cell r="I38">
            <v>4270667</v>
          </cell>
          <cell r="J38">
            <v>8139443</v>
          </cell>
          <cell r="K38">
            <v>14916132</v>
          </cell>
        </row>
        <row r="39">
          <cell r="B39" t="str">
            <v>Northern Mariana</v>
          </cell>
          <cell r="J39">
            <v>4275914</v>
          </cell>
          <cell r="K39">
            <v>4275914</v>
          </cell>
        </row>
        <row r="40">
          <cell r="B40" t="str">
            <v>Ohio</v>
          </cell>
          <cell r="C40">
            <v>70124656</v>
          </cell>
          <cell r="D40">
            <v>58581064</v>
          </cell>
          <cell r="E40">
            <v>2287887</v>
          </cell>
          <cell r="F40">
            <v>60868951</v>
          </cell>
          <cell r="G40">
            <v>45403943</v>
          </cell>
          <cell r="H40">
            <v>0.62780000000000002</v>
          </cell>
          <cell r="I40">
            <v>36087008</v>
          </cell>
          <cell r="J40">
            <v>168965079</v>
          </cell>
          <cell r="K40">
            <v>299958686</v>
          </cell>
        </row>
        <row r="41">
          <cell r="B41" t="str">
            <v>Oklahoma</v>
          </cell>
          <cell r="C41">
            <v>24909979</v>
          </cell>
          <cell r="D41">
            <v>22019996</v>
          </cell>
          <cell r="E41">
            <v>859992</v>
          </cell>
          <cell r="F41">
            <v>22879988</v>
          </cell>
          <cell r="G41">
            <v>10630233</v>
          </cell>
          <cell r="H41">
            <v>0.5857</v>
          </cell>
          <cell r="I41">
            <v>16184359</v>
          </cell>
          <cell r="J41">
            <v>70890492</v>
          </cell>
          <cell r="K41">
            <v>118680459</v>
          </cell>
        </row>
        <row r="42">
          <cell r="B42" t="str">
            <v>Oregon</v>
          </cell>
          <cell r="C42">
            <v>19408790</v>
          </cell>
          <cell r="D42">
            <v>19481591</v>
          </cell>
          <cell r="E42">
            <v>760855</v>
          </cell>
          <cell r="F42">
            <v>20242446</v>
          </cell>
          <cell r="G42">
            <v>11714966</v>
          </cell>
          <cell r="H42">
            <v>0.63619999999999999</v>
          </cell>
          <cell r="I42">
            <v>11575294</v>
          </cell>
          <cell r="J42">
            <v>58377687</v>
          </cell>
          <cell r="K42">
            <v>98028923</v>
          </cell>
        </row>
        <row r="43">
          <cell r="B43" t="str">
            <v>Pennsylvania</v>
          </cell>
          <cell r="C43">
            <v>55336804</v>
          </cell>
          <cell r="D43">
            <v>60002110</v>
          </cell>
          <cell r="E43">
            <v>2343386</v>
          </cell>
          <cell r="F43">
            <v>62345496</v>
          </cell>
          <cell r="G43">
            <v>46629051</v>
          </cell>
          <cell r="H43">
            <v>0.51819999999999999</v>
          </cell>
          <cell r="I43">
            <v>57966152</v>
          </cell>
          <cell r="J43">
            <v>150324575</v>
          </cell>
          <cell r="K43">
            <v>268006875</v>
          </cell>
        </row>
        <row r="44">
          <cell r="B44" t="str">
            <v>Puerto Rico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0.55000000000000004</v>
          </cell>
          <cell r="I44">
            <v>0</v>
          </cell>
          <cell r="J44">
            <v>52626111</v>
          </cell>
          <cell r="K44">
            <v>52626111</v>
          </cell>
        </row>
        <row r="45">
          <cell r="B45" t="str">
            <v>Rhode Island</v>
          </cell>
          <cell r="C45">
            <v>6633774</v>
          </cell>
          <cell r="D45">
            <v>4668446</v>
          </cell>
          <cell r="E45">
            <v>0</v>
          </cell>
          <cell r="F45">
            <v>4668446</v>
          </cell>
          <cell r="G45">
            <v>5321126</v>
          </cell>
          <cell r="H45">
            <v>0.51450000000000007</v>
          </cell>
          <cell r="I45">
            <v>4405307</v>
          </cell>
          <cell r="J45">
            <v>11735488</v>
          </cell>
          <cell r="K45">
            <v>23037708</v>
          </cell>
        </row>
        <row r="46">
          <cell r="B46" t="str">
            <v>South Carolina</v>
          </cell>
          <cell r="C46">
            <v>9867439</v>
          </cell>
          <cell r="D46">
            <v>24674518</v>
          </cell>
          <cell r="E46">
            <v>0</v>
          </cell>
          <cell r="F46">
            <v>24674518</v>
          </cell>
          <cell r="G46">
            <v>4085269</v>
          </cell>
          <cell r="H46">
            <v>0.71579999999999999</v>
          </cell>
          <cell r="I46">
            <v>9796728</v>
          </cell>
          <cell r="J46">
            <v>90489248</v>
          </cell>
          <cell r="K46">
            <v>125031205</v>
          </cell>
        </row>
        <row r="47">
          <cell r="B47" t="str">
            <v>South Dakota</v>
          </cell>
          <cell r="C47">
            <v>1710801</v>
          </cell>
          <cell r="D47">
            <v>4923342</v>
          </cell>
          <cell r="E47">
            <v>192281</v>
          </cell>
          <cell r="F47">
            <v>5115623</v>
          </cell>
          <cell r="G47">
            <v>802914</v>
          </cell>
          <cell r="H47">
            <v>0.5534</v>
          </cell>
          <cell r="I47">
            <v>4128365</v>
          </cell>
          <cell r="J47">
            <v>12775010</v>
          </cell>
          <cell r="K47">
            <v>19601434</v>
          </cell>
        </row>
        <row r="48">
          <cell r="B48" t="str">
            <v>Tennessee</v>
          </cell>
          <cell r="C48">
            <v>37702188</v>
          </cell>
          <cell r="D48">
            <v>33745419</v>
          </cell>
          <cell r="E48">
            <v>0</v>
          </cell>
          <cell r="F48">
            <v>33745419</v>
          </cell>
          <cell r="G48">
            <v>18975782</v>
          </cell>
          <cell r="H48">
            <v>0.6581999999999999</v>
          </cell>
          <cell r="I48">
            <v>17523829</v>
          </cell>
          <cell r="J48">
            <v>118502429</v>
          </cell>
          <cell r="K48">
            <v>189950036</v>
          </cell>
        </row>
        <row r="49">
          <cell r="B49" t="str">
            <v>Texas</v>
          </cell>
          <cell r="C49">
            <v>59844129</v>
          </cell>
          <cell r="D49">
            <v>164693762</v>
          </cell>
          <cell r="E49">
            <v>6432125</v>
          </cell>
          <cell r="F49">
            <v>171125887</v>
          </cell>
          <cell r="G49">
            <v>34681421</v>
          </cell>
          <cell r="H49">
            <v>0.56879999999999997</v>
          </cell>
          <cell r="I49">
            <v>129728345</v>
          </cell>
          <cell r="J49">
            <v>521273722</v>
          </cell>
          <cell r="K49">
            <v>752243738</v>
          </cell>
        </row>
        <row r="50">
          <cell r="B50" t="str">
            <v>Utah</v>
          </cell>
          <cell r="C50">
            <v>12591564</v>
          </cell>
          <cell r="D50">
            <v>21081100</v>
          </cell>
          <cell r="E50">
            <v>823324</v>
          </cell>
          <cell r="F50">
            <v>21904424</v>
          </cell>
          <cell r="G50">
            <v>4474923</v>
          </cell>
          <cell r="H50">
            <v>0.7026</v>
          </cell>
          <cell r="I50">
            <v>9271813</v>
          </cell>
          <cell r="J50">
            <v>58598891</v>
          </cell>
          <cell r="K50">
            <v>93094879</v>
          </cell>
        </row>
        <row r="51">
          <cell r="B51" t="str">
            <v>Vermont</v>
          </cell>
          <cell r="C51">
            <v>3944887</v>
          </cell>
          <cell r="D51">
            <v>2626312</v>
          </cell>
          <cell r="E51">
            <v>102571</v>
          </cell>
          <cell r="F51">
            <v>2728883</v>
          </cell>
          <cell r="G51">
            <v>2666323</v>
          </cell>
          <cell r="H51">
            <v>0.53469999999999995</v>
          </cell>
          <cell r="I51">
            <v>2374695</v>
          </cell>
          <cell r="J51">
            <v>6554416</v>
          </cell>
          <cell r="K51">
            <v>13228186</v>
          </cell>
        </row>
        <row r="52">
          <cell r="B52" t="str">
            <v>Virgin Islands</v>
          </cell>
          <cell r="J52">
            <v>5169628</v>
          </cell>
          <cell r="K52">
            <v>5169628</v>
          </cell>
        </row>
        <row r="53">
          <cell r="B53" t="str">
            <v>Virginia</v>
          </cell>
          <cell r="C53">
            <v>21328766</v>
          </cell>
          <cell r="D53">
            <v>42442564</v>
          </cell>
          <cell r="E53">
            <v>0</v>
          </cell>
          <cell r="F53">
            <v>42442564</v>
          </cell>
          <cell r="G53">
            <v>21328762</v>
          </cell>
          <cell r="H53">
            <v>0.5</v>
          </cell>
          <cell r="I53">
            <v>42442564</v>
          </cell>
          <cell r="J53">
            <v>97680658</v>
          </cell>
          <cell r="K53">
            <v>161451988</v>
          </cell>
        </row>
        <row r="54">
          <cell r="B54" t="str">
            <v>Washington</v>
          </cell>
          <cell r="C54">
            <v>41883444</v>
          </cell>
          <cell r="D54">
            <v>36796989</v>
          </cell>
          <cell r="E54">
            <v>700890</v>
          </cell>
          <cell r="F54">
            <v>37497879</v>
          </cell>
          <cell r="G54">
            <v>38707605</v>
          </cell>
          <cell r="H54">
            <v>0.5</v>
          </cell>
          <cell r="I54">
            <v>37497879</v>
          </cell>
          <cell r="J54">
            <v>86884261</v>
          </cell>
          <cell r="K54">
            <v>166265584</v>
          </cell>
        </row>
        <row r="55">
          <cell r="B55" t="str">
            <v>West Virginia</v>
          </cell>
          <cell r="C55">
            <v>8727005</v>
          </cell>
          <cell r="D55">
            <v>8530251</v>
          </cell>
          <cell r="E55">
            <v>333149</v>
          </cell>
          <cell r="F55">
            <v>8863400</v>
          </cell>
          <cell r="G55">
            <v>2971392</v>
          </cell>
          <cell r="H55">
            <v>0.73239999999999994</v>
          </cell>
          <cell r="I55">
            <v>3238457</v>
          </cell>
          <cell r="J55">
            <v>31980234</v>
          </cell>
          <cell r="K55">
            <v>49570639</v>
          </cell>
        </row>
        <row r="56">
          <cell r="B56" t="str">
            <v>Wisconsin</v>
          </cell>
          <cell r="C56">
            <v>24511351</v>
          </cell>
          <cell r="D56">
            <v>29023642</v>
          </cell>
          <cell r="E56">
            <v>0</v>
          </cell>
          <cell r="F56">
            <v>29023642</v>
          </cell>
          <cell r="G56">
            <v>16449406</v>
          </cell>
          <cell r="H56">
            <v>0.5877</v>
          </cell>
          <cell r="I56">
            <v>20361490</v>
          </cell>
          <cell r="J56">
            <v>74640846</v>
          </cell>
          <cell r="K56">
            <v>128175839</v>
          </cell>
        </row>
        <row r="57">
          <cell r="B57" t="str">
            <v>Wyoming</v>
          </cell>
          <cell r="C57">
            <v>2815041</v>
          </cell>
          <cell r="D57">
            <v>3219694</v>
          </cell>
          <cell r="E57">
            <v>0</v>
          </cell>
          <cell r="F57">
            <v>3219694</v>
          </cell>
          <cell r="G57">
            <v>1553707</v>
          </cell>
          <cell r="H57">
            <v>0.5</v>
          </cell>
          <cell r="I57">
            <v>3219694</v>
          </cell>
          <cell r="J57">
            <v>6259247</v>
          </cell>
          <cell r="K57">
            <v>12293982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b"/>
      <sheetName val="Table 2b"/>
      <sheetName val="Table 3b"/>
      <sheetName val="Table 4b"/>
      <sheetName val="Table 5b"/>
      <sheetName val="Table 6b"/>
      <sheetName val="Table 7b"/>
      <sheetName val="Table 8b"/>
      <sheetName val="FY18 Validation"/>
      <sheetName val="FY18 Admin"/>
      <sheetName val="FY18 InfantToddler"/>
      <sheetName val="FY18 Quality"/>
      <sheetName val="FY18 Excess match"/>
      <sheetName val="FY18 AllocChart OCC"/>
    </sheetNames>
    <sheetDataSet>
      <sheetData sheetId="0"/>
      <sheetData sheetId="1">
        <row r="6">
          <cell r="A6" t="str">
            <v xml:space="preserve">State </v>
          </cell>
          <cell r="B6" t="str">
            <v>Federal Funds Awarded (A)</v>
          </cell>
          <cell r="D6" t="str">
            <v>Federal Funds Awarded (B) 1/</v>
          </cell>
          <cell r="F6" t="str">
            <v>Federal Funds Awarded (C)</v>
          </cell>
          <cell r="H6" t="str">
            <v>TANF Transfer (D)</v>
          </cell>
          <cell r="J6" t="str">
            <v>Total Discretionary Funds Available C+D=(E)</v>
          </cell>
        </row>
        <row r="7">
          <cell r="A7" t="str">
            <v>Alabama</v>
          </cell>
          <cell r="B7">
            <v>16441707</v>
          </cell>
          <cell r="D7">
            <v>24673636</v>
          </cell>
          <cell r="F7">
            <v>93652687</v>
          </cell>
          <cell r="H7">
            <v>0</v>
          </cell>
          <cell r="J7">
            <v>93652687</v>
          </cell>
        </row>
        <row r="8">
          <cell r="A8" t="str">
            <v>Alaska</v>
          </cell>
          <cell r="B8">
            <v>3544811</v>
          </cell>
          <cell r="D8">
            <v>4315556</v>
          </cell>
          <cell r="F8">
            <v>9252713</v>
          </cell>
          <cell r="H8">
            <v>8879493</v>
          </cell>
          <cell r="J8">
            <v>18132206</v>
          </cell>
        </row>
        <row r="9">
          <cell r="A9" t="str">
            <v>American Samoa</v>
          </cell>
          <cell r="B9">
            <v>0</v>
          </cell>
          <cell r="D9">
            <v>0</v>
          </cell>
          <cell r="F9">
            <v>6835282</v>
          </cell>
          <cell r="H9">
            <v>0</v>
          </cell>
          <cell r="J9">
            <v>6835282</v>
          </cell>
        </row>
        <row r="10">
          <cell r="A10" t="str">
            <v>Arizona</v>
          </cell>
          <cell r="B10">
            <v>19827025</v>
          </cell>
          <cell r="D10">
            <v>38129788</v>
          </cell>
          <cell r="F10">
            <v>127027591</v>
          </cell>
          <cell r="H10">
            <v>0</v>
          </cell>
          <cell r="J10">
            <v>127027591</v>
          </cell>
        </row>
        <row r="11">
          <cell r="A11" t="str">
            <v>Arkansas</v>
          </cell>
          <cell r="B11">
            <v>5300283</v>
          </cell>
          <cell r="D11">
            <v>16594787</v>
          </cell>
          <cell r="F11">
            <v>59182433</v>
          </cell>
          <cell r="H11">
            <v>0</v>
          </cell>
          <cell r="J11">
            <v>59182433</v>
          </cell>
        </row>
        <row r="12">
          <cell r="A12" t="str">
            <v>California</v>
          </cell>
          <cell r="B12">
            <v>85593217</v>
          </cell>
          <cell r="D12">
            <v>215042844</v>
          </cell>
          <cell r="F12">
            <v>533253621</v>
          </cell>
          <cell r="H12">
            <v>0</v>
          </cell>
          <cell r="J12">
            <v>533253621</v>
          </cell>
        </row>
        <row r="13">
          <cell r="A13" t="str">
            <v>Colorado</v>
          </cell>
          <cell r="B13">
            <v>10173800</v>
          </cell>
          <cell r="D13">
            <v>29731834</v>
          </cell>
          <cell r="F13">
            <v>62658526</v>
          </cell>
          <cell r="H13">
            <v>6419991</v>
          </cell>
          <cell r="J13">
            <v>69078517</v>
          </cell>
        </row>
        <row r="14">
          <cell r="A14" t="str">
            <v>Connecticut</v>
          </cell>
          <cell r="B14">
            <v>18738357</v>
          </cell>
          <cell r="D14">
            <v>16618286</v>
          </cell>
          <cell r="F14">
            <v>32538702</v>
          </cell>
          <cell r="H14">
            <v>26678810</v>
          </cell>
          <cell r="J14">
            <v>59217512</v>
          </cell>
        </row>
        <row r="15">
          <cell r="A15" t="str">
            <v>Delaware</v>
          </cell>
          <cell r="B15">
            <v>5179330</v>
          </cell>
          <cell r="D15">
            <v>4624540</v>
          </cell>
          <cell r="F15">
            <v>13505849</v>
          </cell>
          <cell r="H15">
            <v>0</v>
          </cell>
          <cell r="J15">
            <v>13505849</v>
          </cell>
        </row>
        <row r="16">
          <cell r="A16" t="str">
            <v>District of Columbia</v>
          </cell>
          <cell r="B16">
            <v>4566974</v>
          </cell>
          <cell r="D16">
            <v>2911593</v>
          </cell>
          <cell r="F16">
            <v>8269354</v>
          </cell>
          <cell r="H16">
            <v>0</v>
          </cell>
          <cell r="J16">
            <v>8269354</v>
          </cell>
        </row>
        <row r="17">
          <cell r="A17" t="str">
            <v>Florida</v>
          </cell>
          <cell r="B17">
            <v>43026524</v>
          </cell>
          <cell r="D17">
            <v>95590681</v>
          </cell>
          <cell r="F17">
            <v>305214860</v>
          </cell>
          <cell r="H17">
            <v>110012518</v>
          </cell>
          <cell r="J17">
            <v>415227378</v>
          </cell>
        </row>
        <row r="18">
          <cell r="A18" t="str">
            <v>Georgia</v>
          </cell>
          <cell r="B18">
            <v>36548223</v>
          </cell>
          <cell r="D18">
            <v>58649433</v>
          </cell>
          <cell r="F18">
            <v>210077705</v>
          </cell>
          <cell r="H18">
            <v>0</v>
          </cell>
          <cell r="J18">
            <v>210077705</v>
          </cell>
        </row>
        <row r="19">
          <cell r="A19" t="str">
            <v>Guam</v>
          </cell>
          <cell r="B19">
            <v>0</v>
          </cell>
          <cell r="D19">
            <v>0</v>
          </cell>
          <cell r="F19">
            <v>9849176</v>
          </cell>
          <cell r="H19">
            <v>0</v>
          </cell>
          <cell r="J19">
            <v>9849176</v>
          </cell>
        </row>
        <row r="20">
          <cell r="A20" t="str">
            <v>Hawaii</v>
          </cell>
          <cell r="B20">
            <v>4971633</v>
          </cell>
          <cell r="D20">
            <v>7257124</v>
          </cell>
          <cell r="F20">
            <v>17833367</v>
          </cell>
          <cell r="H20">
            <v>0</v>
          </cell>
          <cell r="J20">
            <v>17833367</v>
          </cell>
        </row>
        <row r="21">
          <cell r="A21" t="str">
            <v>Idaho</v>
          </cell>
          <cell r="B21">
            <v>2867578</v>
          </cell>
          <cell r="D21">
            <v>9800257</v>
          </cell>
          <cell r="F21">
            <v>29793635</v>
          </cell>
          <cell r="H21">
            <v>7804095</v>
          </cell>
          <cell r="J21">
            <v>37597730</v>
          </cell>
        </row>
        <row r="22">
          <cell r="A22" t="str">
            <v>Illinois</v>
          </cell>
          <cell r="B22">
            <v>56873824</v>
          </cell>
          <cell r="D22">
            <v>66328691</v>
          </cell>
          <cell r="F22">
            <v>172945742</v>
          </cell>
          <cell r="H22">
            <v>0</v>
          </cell>
          <cell r="J22">
            <v>172945742</v>
          </cell>
        </row>
        <row r="23">
          <cell r="A23" t="str">
            <v>Indiana</v>
          </cell>
          <cell r="B23">
            <v>26181999</v>
          </cell>
          <cell r="D23">
            <v>36832354</v>
          </cell>
          <cell r="F23">
            <v>113903167</v>
          </cell>
          <cell r="H23">
            <v>61835002</v>
          </cell>
          <cell r="J23">
            <v>175738169</v>
          </cell>
        </row>
        <row r="24">
          <cell r="A24" t="str">
            <v>Iowa</v>
          </cell>
          <cell r="B24">
            <v>8507792</v>
          </cell>
          <cell r="D24">
            <v>17177120</v>
          </cell>
          <cell r="F24">
            <v>43740812</v>
          </cell>
          <cell r="H24">
            <v>26205412</v>
          </cell>
          <cell r="J24">
            <v>69946224</v>
          </cell>
        </row>
        <row r="25">
          <cell r="A25" t="str">
            <v>Kansas</v>
          </cell>
          <cell r="B25">
            <v>9811721</v>
          </cell>
          <cell r="D25">
            <v>16404238</v>
          </cell>
          <cell r="F25">
            <v>44983540</v>
          </cell>
          <cell r="H25">
            <v>0</v>
          </cell>
          <cell r="J25">
            <v>44983540</v>
          </cell>
        </row>
        <row r="26">
          <cell r="A26" t="str">
            <v>Kentucky</v>
          </cell>
          <cell r="B26">
            <v>16701653</v>
          </cell>
          <cell r="D26">
            <v>23783634</v>
          </cell>
          <cell r="F26">
            <v>94217300</v>
          </cell>
          <cell r="H26">
            <v>0</v>
          </cell>
          <cell r="J26">
            <v>94217300</v>
          </cell>
        </row>
        <row r="27">
          <cell r="A27" t="str">
            <v>Louisiana</v>
          </cell>
          <cell r="B27">
            <v>13864552</v>
          </cell>
          <cell r="D27">
            <v>26403393</v>
          </cell>
          <cell r="F27">
            <v>90419187</v>
          </cell>
          <cell r="H27">
            <v>0</v>
          </cell>
          <cell r="J27">
            <v>90419187</v>
          </cell>
        </row>
        <row r="28">
          <cell r="A28" t="str">
            <v>Maine</v>
          </cell>
          <cell r="B28">
            <v>3018598</v>
          </cell>
          <cell r="D28">
            <v>5634291</v>
          </cell>
          <cell r="F28">
            <v>16030039</v>
          </cell>
          <cell r="H28">
            <v>5000160</v>
          </cell>
          <cell r="J28">
            <v>21030199</v>
          </cell>
        </row>
        <row r="29">
          <cell r="A29" t="str">
            <v>Maryland</v>
          </cell>
          <cell r="B29">
            <v>23301407</v>
          </cell>
          <cell r="D29">
            <v>30489635</v>
          </cell>
          <cell r="F29">
            <v>64637515</v>
          </cell>
          <cell r="H29">
            <v>0</v>
          </cell>
          <cell r="J29">
            <v>64637515</v>
          </cell>
        </row>
        <row r="30">
          <cell r="A30" t="str">
            <v>Massachusetts</v>
          </cell>
          <cell r="B30">
            <v>44973373</v>
          </cell>
          <cell r="D30">
            <v>30764736</v>
          </cell>
          <cell r="F30">
            <v>64000306</v>
          </cell>
          <cell r="H30">
            <v>91570224</v>
          </cell>
          <cell r="J30">
            <v>155570530</v>
          </cell>
        </row>
        <row r="31">
          <cell r="A31" t="str">
            <v>Michigan</v>
          </cell>
          <cell r="B31">
            <v>32081922</v>
          </cell>
          <cell r="D31">
            <v>48724167</v>
          </cell>
          <cell r="F31">
            <v>146977312</v>
          </cell>
          <cell r="H31">
            <v>8300000</v>
          </cell>
          <cell r="J31">
            <v>155277312</v>
          </cell>
        </row>
        <row r="32">
          <cell r="A32" t="str">
            <v>Minnesota</v>
          </cell>
          <cell r="B32">
            <v>23367543</v>
          </cell>
          <cell r="D32">
            <v>29250329</v>
          </cell>
          <cell r="F32">
            <v>68135880</v>
          </cell>
          <cell r="H32">
            <v>38451000</v>
          </cell>
          <cell r="J32">
            <v>106586880</v>
          </cell>
        </row>
        <row r="33">
          <cell r="A33" t="str">
            <v>Mississippi</v>
          </cell>
          <cell r="B33">
            <v>6293116</v>
          </cell>
          <cell r="D33">
            <v>16421511</v>
          </cell>
          <cell r="F33">
            <v>68985424</v>
          </cell>
          <cell r="H33">
            <v>0</v>
          </cell>
          <cell r="J33">
            <v>68985424</v>
          </cell>
        </row>
        <row r="34">
          <cell r="A34" t="str">
            <v>Missouri</v>
          </cell>
          <cell r="B34">
            <v>24668568</v>
          </cell>
          <cell r="D34">
            <v>32609437</v>
          </cell>
          <cell r="F34">
            <v>94586142</v>
          </cell>
          <cell r="H34">
            <v>0</v>
          </cell>
          <cell r="J34">
            <v>94586142</v>
          </cell>
        </row>
        <row r="35">
          <cell r="A35" t="str">
            <v>Montana</v>
          </cell>
          <cell r="B35">
            <v>3190691</v>
          </cell>
          <cell r="D35">
            <v>5358205</v>
          </cell>
          <cell r="F35">
            <v>14598891</v>
          </cell>
          <cell r="H35">
            <v>7340000</v>
          </cell>
          <cell r="J35">
            <v>21938891</v>
          </cell>
        </row>
        <row r="36">
          <cell r="A36" t="str">
            <v>Nebraska</v>
          </cell>
          <cell r="B36">
            <v>10594637</v>
          </cell>
          <cell r="D36">
            <v>10810607</v>
          </cell>
          <cell r="F36">
            <v>27924681</v>
          </cell>
          <cell r="H36">
            <v>15744585</v>
          </cell>
          <cell r="J36">
            <v>43669266</v>
          </cell>
        </row>
        <row r="37">
          <cell r="A37" t="str">
            <v>Nevada</v>
          </cell>
          <cell r="B37">
            <v>2580422</v>
          </cell>
          <cell r="D37">
            <v>15196514</v>
          </cell>
          <cell r="F37">
            <v>47048321</v>
          </cell>
          <cell r="H37">
            <v>0</v>
          </cell>
          <cell r="J37">
            <v>47048321</v>
          </cell>
        </row>
        <row r="38">
          <cell r="A38" t="str">
            <v>New Hampshire</v>
          </cell>
          <cell r="B38">
            <v>4581870</v>
          </cell>
          <cell r="D38">
            <v>5952917</v>
          </cell>
          <cell r="F38">
            <v>10344510</v>
          </cell>
          <cell r="H38">
            <v>0</v>
          </cell>
          <cell r="J38">
            <v>10344510</v>
          </cell>
        </row>
        <row r="39">
          <cell r="A39" t="str">
            <v>New Jersey</v>
          </cell>
          <cell r="B39">
            <v>26374178</v>
          </cell>
          <cell r="D39">
            <v>46356392</v>
          </cell>
          <cell r="F39">
            <v>89707366</v>
          </cell>
          <cell r="H39">
            <v>72000000</v>
          </cell>
          <cell r="J39">
            <v>161707366</v>
          </cell>
        </row>
        <row r="40">
          <cell r="A40" t="str">
            <v>New Mexico</v>
          </cell>
          <cell r="B40">
            <v>8307587</v>
          </cell>
          <cell r="D40">
            <v>11739234</v>
          </cell>
          <cell r="F40">
            <v>42666289</v>
          </cell>
          <cell r="H40">
            <v>31277500</v>
          </cell>
          <cell r="J40">
            <v>73943789</v>
          </cell>
        </row>
        <row r="41">
          <cell r="A41" t="str">
            <v>New York</v>
          </cell>
          <cell r="B41">
            <v>101983998</v>
          </cell>
          <cell r="D41">
            <v>98708146</v>
          </cell>
          <cell r="F41">
            <v>224600153</v>
          </cell>
          <cell r="H41">
            <v>475451500</v>
          </cell>
          <cell r="J41">
            <v>700051653</v>
          </cell>
        </row>
        <row r="42">
          <cell r="A42" t="str">
            <v>North Carolina</v>
          </cell>
          <cell r="B42">
            <v>69639228</v>
          </cell>
          <cell r="D42">
            <v>53572847</v>
          </cell>
          <cell r="F42">
            <v>170411942</v>
          </cell>
          <cell r="H42">
            <v>71773001</v>
          </cell>
          <cell r="J42">
            <v>242184943</v>
          </cell>
        </row>
        <row r="43">
          <cell r="A43" t="str">
            <v>North Dakota</v>
          </cell>
          <cell r="B43">
            <v>2506022</v>
          </cell>
          <cell r="D43">
            <v>4270667</v>
          </cell>
          <cell r="F43">
            <v>8139443</v>
          </cell>
          <cell r="H43">
            <v>0</v>
          </cell>
          <cell r="J43">
            <v>8139443</v>
          </cell>
        </row>
        <row r="44">
          <cell r="A44" t="str">
            <v>Northern Mariana</v>
          </cell>
          <cell r="B44">
            <v>0</v>
          </cell>
          <cell r="D44">
            <v>0</v>
          </cell>
          <cell r="F44">
            <v>4275914</v>
          </cell>
          <cell r="H44">
            <v>0</v>
          </cell>
          <cell r="J44">
            <v>4275914</v>
          </cell>
        </row>
        <row r="45">
          <cell r="A45" t="str">
            <v>Ohio</v>
          </cell>
          <cell r="B45">
            <v>70124656</v>
          </cell>
          <cell r="D45">
            <v>58581064</v>
          </cell>
          <cell r="F45">
            <v>168965079</v>
          </cell>
          <cell r="H45">
            <v>0</v>
          </cell>
          <cell r="J45">
            <v>168965079</v>
          </cell>
        </row>
        <row r="46">
          <cell r="A46" t="str">
            <v>Oklahoma</v>
          </cell>
          <cell r="B46">
            <v>24909979</v>
          </cell>
          <cell r="D46">
            <v>22879988</v>
          </cell>
          <cell r="F46">
            <v>70890492</v>
          </cell>
          <cell r="H46">
            <v>24000000</v>
          </cell>
          <cell r="J46">
            <v>94890492</v>
          </cell>
        </row>
        <row r="47">
          <cell r="A47" t="str">
            <v>Oregon</v>
          </cell>
          <cell r="B47">
            <v>19408790</v>
          </cell>
          <cell r="D47">
            <v>20242446</v>
          </cell>
          <cell r="F47">
            <v>58377687</v>
          </cell>
          <cell r="H47">
            <v>0</v>
          </cell>
          <cell r="J47">
            <v>58377687</v>
          </cell>
        </row>
        <row r="48">
          <cell r="A48" t="str">
            <v>Pennsylvania</v>
          </cell>
          <cell r="B48">
            <v>55336804</v>
          </cell>
          <cell r="D48">
            <v>62345496</v>
          </cell>
          <cell r="F48">
            <v>150324575</v>
          </cell>
          <cell r="H48">
            <v>184160487</v>
          </cell>
          <cell r="J48">
            <v>334485062</v>
          </cell>
        </row>
        <row r="49">
          <cell r="A49" t="str">
            <v>Puerto Rico</v>
          </cell>
          <cell r="B49">
            <v>0</v>
          </cell>
          <cell r="D49">
            <v>0</v>
          </cell>
          <cell r="F49">
            <v>52626111</v>
          </cell>
          <cell r="H49">
            <v>4651561</v>
          </cell>
          <cell r="J49">
            <v>57277672</v>
          </cell>
        </row>
        <row r="50">
          <cell r="A50" t="str">
            <v>Rhode Island</v>
          </cell>
          <cell r="B50">
            <v>6633774</v>
          </cell>
          <cell r="D50">
            <v>4668446</v>
          </cell>
          <cell r="F50">
            <v>11735488</v>
          </cell>
          <cell r="H50">
            <v>16946069</v>
          </cell>
          <cell r="J50">
            <v>28681557</v>
          </cell>
        </row>
        <row r="51">
          <cell r="A51" t="str">
            <v>South Carolina</v>
          </cell>
          <cell r="B51">
            <v>9867439</v>
          </cell>
          <cell r="D51">
            <v>24674518</v>
          </cell>
          <cell r="F51">
            <v>90489248</v>
          </cell>
          <cell r="H51">
            <v>0</v>
          </cell>
          <cell r="J51">
            <v>90489248</v>
          </cell>
        </row>
        <row r="52">
          <cell r="A52" t="str">
            <v>South Dakota</v>
          </cell>
          <cell r="B52">
            <v>1710801</v>
          </cell>
          <cell r="D52">
            <v>5115623</v>
          </cell>
          <cell r="F52">
            <v>12775010</v>
          </cell>
          <cell r="H52">
            <v>0</v>
          </cell>
          <cell r="J52">
            <v>12775010</v>
          </cell>
        </row>
        <row r="53">
          <cell r="A53" t="str">
            <v>Tennessee</v>
          </cell>
          <cell r="B53">
            <v>37702188</v>
          </cell>
          <cell r="D53">
            <v>33745419</v>
          </cell>
          <cell r="F53">
            <v>118502429</v>
          </cell>
          <cell r="H53">
            <v>0</v>
          </cell>
          <cell r="J53">
            <v>118502429</v>
          </cell>
        </row>
        <row r="54">
          <cell r="A54" t="str">
            <v>Texas</v>
          </cell>
          <cell r="B54">
            <v>59844129</v>
          </cell>
          <cell r="D54">
            <v>171125887</v>
          </cell>
          <cell r="F54">
            <v>521273722</v>
          </cell>
          <cell r="H54">
            <v>0</v>
          </cell>
          <cell r="J54">
            <v>521273722</v>
          </cell>
        </row>
        <row r="55">
          <cell r="A55" t="str">
            <v>Utah</v>
          </cell>
          <cell r="B55">
            <v>12591564</v>
          </cell>
          <cell r="D55">
            <v>21904424</v>
          </cell>
          <cell r="F55">
            <v>58598891</v>
          </cell>
          <cell r="H55">
            <v>15071187</v>
          </cell>
          <cell r="J55">
            <v>73670078</v>
          </cell>
        </row>
        <row r="56">
          <cell r="A56" t="str">
            <v>Vermont</v>
          </cell>
          <cell r="B56">
            <v>3944887</v>
          </cell>
          <cell r="D56">
            <v>2728883</v>
          </cell>
          <cell r="F56">
            <v>6554416</v>
          </cell>
          <cell r="H56">
            <v>9224074</v>
          </cell>
          <cell r="J56">
            <v>15778490</v>
          </cell>
        </row>
        <row r="57">
          <cell r="A57" t="str">
            <v>Virgin Islands 2/</v>
          </cell>
          <cell r="B57">
            <v>0</v>
          </cell>
          <cell r="D57">
            <v>0</v>
          </cell>
        </row>
        <row r="58">
          <cell r="A58" t="str">
            <v>Virginia</v>
          </cell>
          <cell r="B58">
            <v>21328766</v>
          </cell>
          <cell r="D58">
            <v>42442564</v>
          </cell>
          <cell r="F58">
            <v>97680658</v>
          </cell>
          <cell r="H58">
            <v>15357212</v>
          </cell>
          <cell r="J58">
            <v>113037870</v>
          </cell>
        </row>
        <row r="59">
          <cell r="A59" t="str">
            <v>Washington</v>
          </cell>
          <cell r="B59">
            <v>41883444</v>
          </cell>
          <cell r="D59">
            <v>37497879</v>
          </cell>
          <cell r="F59">
            <v>86884261</v>
          </cell>
          <cell r="H59">
            <v>101204386</v>
          </cell>
          <cell r="J59">
            <v>188088647</v>
          </cell>
        </row>
        <row r="60">
          <cell r="A60" t="str">
            <v>West Virginia</v>
          </cell>
          <cell r="B60">
            <v>8727005</v>
          </cell>
          <cell r="D60">
            <v>8863400</v>
          </cell>
          <cell r="F60">
            <v>31980234</v>
          </cell>
          <cell r="H60">
            <v>0</v>
          </cell>
          <cell r="J60">
            <v>31980234</v>
          </cell>
        </row>
        <row r="61">
          <cell r="A61" t="str">
            <v>Wisconsin</v>
          </cell>
          <cell r="B61">
            <v>24511351</v>
          </cell>
          <cell r="D61">
            <v>29023642</v>
          </cell>
          <cell r="F61">
            <v>74640846</v>
          </cell>
          <cell r="H61">
            <v>62569196</v>
          </cell>
          <cell r="J61">
            <v>137210042</v>
          </cell>
        </row>
        <row r="62">
          <cell r="A62" t="str">
            <v>Wyoming</v>
          </cell>
          <cell r="B62">
            <v>2815041</v>
          </cell>
          <cell r="D62">
            <v>3219694</v>
          </cell>
          <cell r="F62">
            <v>6259247</v>
          </cell>
          <cell r="H62">
            <v>0</v>
          </cell>
          <cell r="J62">
            <v>6259247</v>
          </cell>
        </row>
      </sheetData>
      <sheetData sheetId="2">
        <row r="5">
          <cell r="A5" t="str">
            <v xml:space="preserve">State </v>
          </cell>
          <cell r="B5" t="str">
            <v>Admin</v>
          </cell>
          <cell r="C5" t="str">
            <v>Quality Activities</v>
          </cell>
          <cell r="D5" t="str">
            <v>Infant/Toddler Quality Activities</v>
          </cell>
          <cell r="E5" t="str">
            <v>Direct Services</v>
          </cell>
          <cell r="F5" t="str">
            <v>N-Dir Svcs Systems</v>
          </cell>
          <cell r="G5" t="str">
            <v>N-Dir Svcs Cert Prog Elig/Det</v>
          </cell>
          <cell r="H5" t="str">
            <v>N-Dir Svcs All Other</v>
          </cell>
          <cell r="I5" t="str">
            <v>Total Expenditures</v>
          </cell>
          <cell r="J5" t="str">
            <v>Unliquidated Obligations</v>
          </cell>
          <cell r="K5" t="str">
            <v>Unobligated Balance</v>
          </cell>
        </row>
        <row r="6">
          <cell r="A6" t="str">
            <v>Alabama</v>
          </cell>
          <cell r="B6">
            <v>0</v>
          </cell>
          <cell r="C6">
            <v>0</v>
          </cell>
          <cell r="D6">
            <v>0</v>
          </cell>
          <cell r="E6">
            <v>16441707</v>
          </cell>
          <cell r="F6">
            <v>0</v>
          </cell>
          <cell r="G6">
            <v>0</v>
          </cell>
          <cell r="H6">
            <v>0</v>
          </cell>
          <cell r="I6">
            <v>16441707</v>
          </cell>
          <cell r="J6">
            <v>0</v>
          </cell>
          <cell r="K6">
            <v>0</v>
          </cell>
        </row>
        <row r="7">
          <cell r="A7" t="str">
            <v>Alaska</v>
          </cell>
          <cell r="B7">
            <v>124158</v>
          </cell>
          <cell r="C7">
            <v>142531</v>
          </cell>
          <cell r="D7">
            <v>0</v>
          </cell>
          <cell r="E7">
            <v>2686095</v>
          </cell>
          <cell r="F7">
            <v>0</v>
          </cell>
          <cell r="G7">
            <v>222934</v>
          </cell>
          <cell r="H7">
            <v>369093</v>
          </cell>
          <cell r="I7">
            <v>3544811</v>
          </cell>
          <cell r="J7">
            <v>0</v>
          </cell>
          <cell r="K7">
            <v>0</v>
          </cell>
        </row>
        <row r="8">
          <cell r="A8" t="str">
            <v>American Samoa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Arizona</v>
          </cell>
          <cell r="B9">
            <v>0</v>
          </cell>
          <cell r="C9">
            <v>0</v>
          </cell>
          <cell r="D9">
            <v>0</v>
          </cell>
          <cell r="E9">
            <v>19827025</v>
          </cell>
          <cell r="F9">
            <v>0</v>
          </cell>
          <cell r="G9">
            <v>0</v>
          </cell>
          <cell r="H9">
            <v>0</v>
          </cell>
          <cell r="I9">
            <v>19827025</v>
          </cell>
          <cell r="J9">
            <v>0</v>
          </cell>
          <cell r="K9">
            <v>0</v>
          </cell>
        </row>
        <row r="10">
          <cell r="A10" t="str">
            <v>Arkansas</v>
          </cell>
          <cell r="B10">
            <v>757772</v>
          </cell>
          <cell r="C10">
            <v>3963015</v>
          </cell>
          <cell r="D10">
            <v>0</v>
          </cell>
          <cell r="E10">
            <v>579496</v>
          </cell>
          <cell r="F10">
            <v>0</v>
          </cell>
          <cell r="G10">
            <v>0</v>
          </cell>
          <cell r="H10">
            <v>0</v>
          </cell>
          <cell r="I10">
            <v>5300283</v>
          </cell>
          <cell r="J10">
            <v>0</v>
          </cell>
          <cell r="K10">
            <v>0</v>
          </cell>
        </row>
        <row r="11">
          <cell r="A11" t="str">
            <v>California</v>
          </cell>
          <cell r="B11">
            <v>0</v>
          </cell>
          <cell r="C11">
            <v>0</v>
          </cell>
          <cell r="D11">
            <v>0</v>
          </cell>
          <cell r="E11">
            <v>70982150</v>
          </cell>
          <cell r="F11">
            <v>0</v>
          </cell>
          <cell r="G11">
            <v>0</v>
          </cell>
          <cell r="H11">
            <v>14611067</v>
          </cell>
          <cell r="I11">
            <v>85593217</v>
          </cell>
          <cell r="J11">
            <v>0</v>
          </cell>
          <cell r="K11">
            <v>0</v>
          </cell>
        </row>
        <row r="12">
          <cell r="A12" t="str">
            <v>Colorado</v>
          </cell>
          <cell r="B12">
            <v>0</v>
          </cell>
          <cell r="C12">
            <v>0</v>
          </cell>
          <cell r="D12">
            <v>0</v>
          </cell>
          <cell r="E12">
            <v>10173800</v>
          </cell>
          <cell r="F12">
            <v>0</v>
          </cell>
          <cell r="G12">
            <v>0</v>
          </cell>
          <cell r="H12">
            <v>0</v>
          </cell>
          <cell r="I12">
            <v>10173800</v>
          </cell>
          <cell r="J12">
            <v>0</v>
          </cell>
          <cell r="K12">
            <v>0</v>
          </cell>
        </row>
        <row r="13">
          <cell r="A13" t="str">
            <v>Connecticut</v>
          </cell>
          <cell r="B13">
            <v>0</v>
          </cell>
          <cell r="C13">
            <v>0</v>
          </cell>
          <cell r="D13">
            <v>562151</v>
          </cell>
          <cell r="E13">
            <v>18176206</v>
          </cell>
          <cell r="F13">
            <v>0</v>
          </cell>
          <cell r="G13">
            <v>0</v>
          </cell>
          <cell r="H13">
            <v>0</v>
          </cell>
          <cell r="I13">
            <v>18738357</v>
          </cell>
          <cell r="J13">
            <v>0</v>
          </cell>
          <cell r="K13">
            <v>0</v>
          </cell>
        </row>
        <row r="14">
          <cell r="A14" t="str">
            <v>Delaware</v>
          </cell>
          <cell r="B14">
            <v>0</v>
          </cell>
          <cell r="C14">
            <v>0</v>
          </cell>
          <cell r="D14">
            <v>0</v>
          </cell>
          <cell r="E14">
            <v>5179330</v>
          </cell>
          <cell r="F14">
            <v>0</v>
          </cell>
          <cell r="G14">
            <v>0</v>
          </cell>
          <cell r="H14">
            <v>0</v>
          </cell>
          <cell r="I14">
            <v>5179330</v>
          </cell>
          <cell r="J14">
            <v>0</v>
          </cell>
          <cell r="K14">
            <v>0</v>
          </cell>
        </row>
        <row r="15">
          <cell r="A15" t="str">
            <v>District of Columbia</v>
          </cell>
          <cell r="B15">
            <v>0</v>
          </cell>
          <cell r="C15">
            <v>0</v>
          </cell>
          <cell r="D15">
            <v>0</v>
          </cell>
          <cell r="E15">
            <v>4566974</v>
          </cell>
          <cell r="F15">
            <v>0</v>
          </cell>
          <cell r="G15">
            <v>0</v>
          </cell>
          <cell r="H15">
            <v>0</v>
          </cell>
          <cell r="I15">
            <v>4566974</v>
          </cell>
          <cell r="J15">
            <v>0</v>
          </cell>
          <cell r="K15">
            <v>0</v>
          </cell>
        </row>
        <row r="16">
          <cell r="A16" t="str">
            <v>Florida</v>
          </cell>
          <cell r="B16">
            <v>1006357</v>
          </cell>
          <cell r="C16">
            <v>6492325</v>
          </cell>
          <cell r="D16">
            <v>0</v>
          </cell>
          <cell r="E16">
            <v>26167581</v>
          </cell>
          <cell r="F16">
            <v>0</v>
          </cell>
          <cell r="G16">
            <v>1018459</v>
          </cell>
          <cell r="H16">
            <v>584817</v>
          </cell>
          <cell r="I16">
            <v>35269539</v>
          </cell>
          <cell r="J16">
            <v>7756985</v>
          </cell>
          <cell r="K16">
            <v>0</v>
          </cell>
        </row>
        <row r="17">
          <cell r="A17" t="str">
            <v>Georgia</v>
          </cell>
          <cell r="B17">
            <v>6787272</v>
          </cell>
          <cell r="C17">
            <v>9317144</v>
          </cell>
          <cell r="D17">
            <v>0</v>
          </cell>
          <cell r="E17">
            <v>13810851</v>
          </cell>
          <cell r="F17">
            <v>431911</v>
          </cell>
          <cell r="G17">
            <v>6201045</v>
          </cell>
          <cell r="H17">
            <v>0</v>
          </cell>
          <cell r="I17">
            <v>36548223</v>
          </cell>
          <cell r="J17">
            <v>0</v>
          </cell>
          <cell r="K17">
            <v>0</v>
          </cell>
        </row>
        <row r="18">
          <cell r="A18" t="str">
            <v>Guam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>Hawaii</v>
          </cell>
          <cell r="B19">
            <v>0</v>
          </cell>
          <cell r="C19">
            <v>1127730</v>
          </cell>
          <cell r="D19">
            <v>0</v>
          </cell>
          <cell r="E19">
            <v>3252634</v>
          </cell>
          <cell r="F19">
            <v>543322</v>
          </cell>
          <cell r="G19">
            <v>47947</v>
          </cell>
          <cell r="H19">
            <v>0</v>
          </cell>
          <cell r="I19">
            <v>4971633</v>
          </cell>
          <cell r="J19">
            <v>0</v>
          </cell>
          <cell r="K19">
            <v>0</v>
          </cell>
        </row>
        <row r="20">
          <cell r="A20" t="str">
            <v>Idaho</v>
          </cell>
          <cell r="B20">
            <v>0</v>
          </cell>
          <cell r="C20">
            <v>0</v>
          </cell>
          <cell r="D20">
            <v>0</v>
          </cell>
          <cell r="E20">
            <v>2867578</v>
          </cell>
          <cell r="F20">
            <v>0</v>
          </cell>
          <cell r="G20">
            <v>0</v>
          </cell>
          <cell r="H20">
            <v>0</v>
          </cell>
          <cell r="I20">
            <v>2867578</v>
          </cell>
          <cell r="J20">
            <v>0</v>
          </cell>
          <cell r="K20">
            <v>0</v>
          </cell>
        </row>
        <row r="21">
          <cell r="A21" t="str">
            <v>Illinois</v>
          </cell>
          <cell r="B21">
            <v>0</v>
          </cell>
          <cell r="C21">
            <v>0</v>
          </cell>
          <cell r="D21">
            <v>0</v>
          </cell>
          <cell r="E21">
            <v>36012883</v>
          </cell>
          <cell r="F21">
            <v>0</v>
          </cell>
          <cell r="G21">
            <v>20860941</v>
          </cell>
          <cell r="H21">
            <v>0</v>
          </cell>
          <cell r="I21">
            <v>56873824</v>
          </cell>
          <cell r="J21">
            <v>0</v>
          </cell>
          <cell r="K21">
            <v>0</v>
          </cell>
        </row>
        <row r="22">
          <cell r="A22" t="str">
            <v>Indiana</v>
          </cell>
          <cell r="B22">
            <v>0</v>
          </cell>
          <cell r="C22">
            <v>0</v>
          </cell>
          <cell r="D22">
            <v>0</v>
          </cell>
          <cell r="E22">
            <v>26181999</v>
          </cell>
          <cell r="F22">
            <v>0</v>
          </cell>
          <cell r="G22">
            <v>0</v>
          </cell>
          <cell r="H22">
            <v>0</v>
          </cell>
          <cell r="I22">
            <v>26181999</v>
          </cell>
          <cell r="J22">
            <v>0</v>
          </cell>
          <cell r="K22">
            <v>0</v>
          </cell>
        </row>
        <row r="23">
          <cell r="A23" t="str">
            <v>Iowa</v>
          </cell>
          <cell r="B23">
            <v>0</v>
          </cell>
          <cell r="C23">
            <v>0</v>
          </cell>
          <cell r="D23">
            <v>0</v>
          </cell>
          <cell r="E23">
            <v>8156898</v>
          </cell>
          <cell r="F23">
            <v>0</v>
          </cell>
          <cell r="G23">
            <v>0</v>
          </cell>
          <cell r="H23">
            <v>0</v>
          </cell>
          <cell r="I23">
            <v>8156898</v>
          </cell>
          <cell r="J23">
            <v>350894</v>
          </cell>
          <cell r="K23">
            <v>0</v>
          </cell>
        </row>
        <row r="24">
          <cell r="A24" t="str">
            <v>Kansas</v>
          </cell>
          <cell r="B24">
            <v>2667872</v>
          </cell>
          <cell r="C24">
            <v>0</v>
          </cell>
          <cell r="D24">
            <v>0</v>
          </cell>
          <cell r="E24">
            <v>3772138</v>
          </cell>
          <cell r="F24">
            <v>34753</v>
          </cell>
          <cell r="G24">
            <v>2107289</v>
          </cell>
          <cell r="H24">
            <v>1229669</v>
          </cell>
          <cell r="I24">
            <v>9811721</v>
          </cell>
          <cell r="J24">
            <v>0</v>
          </cell>
          <cell r="K24">
            <v>0</v>
          </cell>
        </row>
        <row r="25">
          <cell r="A25" t="str">
            <v>Kentucky</v>
          </cell>
          <cell r="B25">
            <v>71919</v>
          </cell>
          <cell r="C25">
            <v>0</v>
          </cell>
          <cell r="D25">
            <v>0</v>
          </cell>
          <cell r="E25">
            <v>2706089</v>
          </cell>
          <cell r="F25">
            <v>0</v>
          </cell>
          <cell r="G25">
            <v>0</v>
          </cell>
          <cell r="H25">
            <v>0</v>
          </cell>
          <cell r="I25">
            <v>2778008</v>
          </cell>
          <cell r="J25">
            <v>13923645</v>
          </cell>
          <cell r="K25">
            <v>0</v>
          </cell>
        </row>
        <row r="26">
          <cell r="A26" t="str">
            <v>Louisiana</v>
          </cell>
          <cell r="B26">
            <v>1650941</v>
          </cell>
          <cell r="C26">
            <v>1014581</v>
          </cell>
          <cell r="D26">
            <v>412297</v>
          </cell>
          <cell r="E26">
            <v>3680863</v>
          </cell>
          <cell r="F26">
            <v>1714595</v>
          </cell>
          <cell r="G26">
            <v>5391275</v>
          </cell>
          <cell r="H26">
            <v>0</v>
          </cell>
          <cell r="I26">
            <v>13864552</v>
          </cell>
          <cell r="J26">
            <v>0</v>
          </cell>
          <cell r="K26">
            <v>0</v>
          </cell>
        </row>
        <row r="27">
          <cell r="A27" t="str">
            <v>Maine</v>
          </cell>
          <cell r="B27">
            <v>0</v>
          </cell>
          <cell r="C27">
            <v>0</v>
          </cell>
          <cell r="D27">
            <v>0</v>
          </cell>
          <cell r="E27">
            <v>3018598</v>
          </cell>
          <cell r="F27">
            <v>0</v>
          </cell>
          <cell r="G27">
            <v>0</v>
          </cell>
          <cell r="H27">
            <v>0</v>
          </cell>
          <cell r="I27">
            <v>3018598</v>
          </cell>
          <cell r="J27">
            <v>0</v>
          </cell>
          <cell r="K27">
            <v>0</v>
          </cell>
        </row>
        <row r="28">
          <cell r="A28" t="str">
            <v>Maryland</v>
          </cell>
          <cell r="B28">
            <v>655408</v>
          </cell>
          <cell r="C28">
            <v>0</v>
          </cell>
          <cell r="D28">
            <v>0</v>
          </cell>
          <cell r="E28">
            <v>13657498</v>
          </cell>
          <cell r="F28">
            <v>0</v>
          </cell>
          <cell r="G28">
            <v>0</v>
          </cell>
          <cell r="H28">
            <v>0</v>
          </cell>
          <cell r="I28">
            <v>14312906</v>
          </cell>
          <cell r="J28">
            <v>8988501</v>
          </cell>
          <cell r="K28">
            <v>0</v>
          </cell>
        </row>
        <row r="29">
          <cell r="A29" t="str">
            <v>Massachusetts</v>
          </cell>
          <cell r="B29">
            <v>0</v>
          </cell>
          <cell r="C29">
            <v>0</v>
          </cell>
          <cell r="D29">
            <v>0</v>
          </cell>
          <cell r="E29">
            <v>44973373</v>
          </cell>
          <cell r="F29">
            <v>0</v>
          </cell>
          <cell r="G29">
            <v>0</v>
          </cell>
          <cell r="H29">
            <v>0</v>
          </cell>
          <cell r="I29">
            <v>44973373</v>
          </cell>
          <cell r="J29">
            <v>0</v>
          </cell>
          <cell r="K29">
            <v>0</v>
          </cell>
        </row>
        <row r="30">
          <cell r="A30" t="str">
            <v>Michigan</v>
          </cell>
          <cell r="B30">
            <v>0</v>
          </cell>
          <cell r="C30">
            <v>0</v>
          </cell>
          <cell r="D30">
            <v>0</v>
          </cell>
          <cell r="E30">
            <v>32081922</v>
          </cell>
          <cell r="F30">
            <v>0</v>
          </cell>
          <cell r="G30">
            <v>0</v>
          </cell>
          <cell r="H30">
            <v>0</v>
          </cell>
          <cell r="I30">
            <v>32081922</v>
          </cell>
          <cell r="J30">
            <v>0</v>
          </cell>
          <cell r="K30">
            <v>0</v>
          </cell>
        </row>
        <row r="31">
          <cell r="A31" t="str">
            <v>Minnesota</v>
          </cell>
          <cell r="B31">
            <v>0</v>
          </cell>
          <cell r="C31">
            <v>0</v>
          </cell>
          <cell r="D31">
            <v>0</v>
          </cell>
          <cell r="E31">
            <v>23367543</v>
          </cell>
          <cell r="F31">
            <v>0</v>
          </cell>
          <cell r="G31">
            <v>0</v>
          </cell>
          <cell r="H31">
            <v>0</v>
          </cell>
          <cell r="I31">
            <v>23367543</v>
          </cell>
          <cell r="J31">
            <v>0</v>
          </cell>
          <cell r="K31">
            <v>0</v>
          </cell>
        </row>
        <row r="32">
          <cell r="A32" t="str">
            <v>Mississippi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6293116</v>
          </cell>
          <cell r="K32">
            <v>0</v>
          </cell>
        </row>
        <row r="33">
          <cell r="A33" t="str">
            <v>Missouri</v>
          </cell>
          <cell r="B33">
            <v>706374</v>
          </cell>
          <cell r="C33">
            <v>3751414</v>
          </cell>
          <cell r="D33">
            <v>3683283</v>
          </cell>
          <cell r="E33">
            <v>16527497</v>
          </cell>
          <cell r="F33">
            <v>0</v>
          </cell>
          <cell r="G33">
            <v>0</v>
          </cell>
          <cell r="H33">
            <v>0</v>
          </cell>
          <cell r="I33">
            <v>24668568</v>
          </cell>
          <cell r="J33">
            <v>0</v>
          </cell>
          <cell r="K33">
            <v>0</v>
          </cell>
        </row>
        <row r="34">
          <cell r="A34" t="str">
            <v>Montana</v>
          </cell>
          <cell r="B34">
            <v>642991</v>
          </cell>
          <cell r="C34">
            <v>0</v>
          </cell>
          <cell r="D34">
            <v>0</v>
          </cell>
          <cell r="E34">
            <v>10439</v>
          </cell>
          <cell r="F34">
            <v>0</v>
          </cell>
          <cell r="G34">
            <v>0</v>
          </cell>
          <cell r="H34">
            <v>0</v>
          </cell>
          <cell r="I34">
            <v>653430</v>
          </cell>
          <cell r="J34">
            <v>2537261</v>
          </cell>
          <cell r="K34">
            <v>0</v>
          </cell>
        </row>
        <row r="35">
          <cell r="A35" t="str">
            <v>Nebraska</v>
          </cell>
          <cell r="B35">
            <v>0</v>
          </cell>
          <cell r="C35">
            <v>0</v>
          </cell>
          <cell r="D35">
            <v>0</v>
          </cell>
          <cell r="E35">
            <v>10594637</v>
          </cell>
          <cell r="F35">
            <v>0</v>
          </cell>
          <cell r="G35">
            <v>0</v>
          </cell>
          <cell r="H35">
            <v>0</v>
          </cell>
          <cell r="I35">
            <v>10594637</v>
          </cell>
          <cell r="J35">
            <v>0</v>
          </cell>
          <cell r="K35">
            <v>0</v>
          </cell>
        </row>
        <row r="36">
          <cell r="A36" t="str">
            <v>Nevada</v>
          </cell>
          <cell r="B36">
            <v>0</v>
          </cell>
          <cell r="C36">
            <v>167033</v>
          </cell>
          <cell r="D36">
            <v>0</v>
          </cell>
          <cell r="E36">
            <v>1929991</v>
          </cell>
          <cell r="F36">
            <v>13533</v>
          </cell>
          <cell r="G36">
            <v>353678</v>
          </cell>
          <cell r="H36">
            <v>92869</v>
          </cell>
          <cell r="I36">
            <v>2557104</v>
          </cell>
          <cell r="J36">
            <v>23318</v>
          </cell>
          <cell r="K36">
            <v>0</v>
          </cell>
        </row>
        <row r="37">
          <cell r="A37" t="str">
            <v>New Hampshire</v>
          </cell>
          <cell r="B37">
            <v>957905</v>
          </cell>
          <cell r="C37">
            <v>1814116</v>
          </cell>
          <cell r="D37">
            <v>0</v>
          </cell>
          <cell r="E37">
            <v>-706235</v>
          </cell>
          <cell r="F37">
            <v>225750</v>
          </cell>
          <cell r="G37">
            <v>829442</v>
          </cell>
          <cell r="H37">
            <v>1460892</v>
          </cell>
          <cell r="I37">
            <v>4581870</v>
          </cell>
          <cell r="J37">
            <v>0</v>
          </cell>
          <cell r="K37">
            <v>0</v>
          </cell>
        </row>
        <row r="38">
          <cell r="A38" t="str">
            <v>New Jersey</v>
          </cell>
          <cell r="B38">
            <v>1318709</v>
          </cell>
          <cell r="C38">
            <v>3381910</v>
          </cell>
          <cell r="D38">
            <v>0</v>
          </cell>
          <cell r="E38">
            <v>18739533</v>
          </cell>
          <cell r="F38">
            <v>448672</v>
          </cell>
          <cell r="G38">
            <v>2485354</v>
          </cell>
          <cell r="H38">
            <v>0</v>
          </cell>
          <cell r="I38">
            <v>26374178</v>
          </cell>
          <cell r="J38">
            <v>0</v>
          </cell>
          <cell r="K38">
            <v>0</v>
          </cell>
        </row>
        <row r="39">
          <cell r="A39" t="str">
            <v>New Mexico</v>
          </cell>
          <cell r="B39">
            <v>1305755</v>
          </cell>
          <cell r="C39">
            <v>2568555</v>
          </cell>
          <cell r="D39">
            <v>0</v>
          </cell>
          <cell r="E39">
            <v>4433277</v>
          </cell>
          <cell r="F39">
            <v>0</v>
          </cell>
          <cell r="G39">
            <v>0</v>
          </cell>
          <cell r="H39">
            <v>0</v>
          </cell>
          <cell r="I39">
            <v>8307587</v>
          </cell>
          <cell r="J39">
            <v>0</v>
          </cell>
          <cell r="K39">
            <v>0</v>
          </cell>
        </row>
        <row r="40">
          <cell r="A40" t="str">
            <v>New York</v>
          </cell>
          <cell r="B40">
            <v>3707186</v>
          </cell>
          <cell r="C40">
            <v>0</v>
          </cell>
          <cell r="D40">
            <v>0</v>
          </cell>
          <cell r="E40">
            <v>88445040</v>
          </cell>
          <cell r="F40">
            <v>0</v>
          </cell>
          <cell r="G40">
            <v>0</v>
          </cell>
          <cell r="H40">
            <v>9831772</v>
          </cell>
          <cell r="I40">
            <v>101983998</v>
          </cell>
          <cell r="J40">
            <v>0</v>
          </cell>
          <cell r="K40">
            <v>0</v>
          </cell>
        </row>
        <row r="41">
          <cell r="A41" t="str">
            <v>North Carolina</v>
          </cell>
          <cell r="B41">
            <v>2804784</v>
          </cell>
          <cell r="C41">
            <v>0</v>
          </cell>
          <cell r="D41">
            <v>0</v>
          </cell>
          <cell r="E41">
            <v>34373615</v>
          </cell>
          <cell r="F41">
            <v>0</v>
          </cell>
          <cell r="G41">
            <v>0</v>
          </cell>
          <cell r="H41">
            <v>14572450</v>
          </cell>
          <cell r="I41">
            <v>51750849</v>
          </cell>
          <cell r="J41">
            <v>17888379</v>
          </cell>
          <cell r="K41">
            <v>0</v>
          </cell>
        </row>
        <row r="42">
          <cell r="A42" t="str">
            <v>North Dakota</v>
          </cell>
          <cell r="B42">
            <v>540968</v>
          </cell>
          <cell r="C42">
            <v>0</v>
          </cell>
          <cell r="D42">
            <v>0</v>
          </cell>
          <cell r="E42">
            <v>636565</v>
          </cell>
          <cell r="F42">
            <v>140377</v>
          </cell>
          <cell r="G42">
            <v>0</v>
          </cell>
          <cell r="H42">
            <v>1188112</v>
          </cell>
          <cell r="I42">
            <v>2506022</v>
          </cell>
          <cell r="J42">
            <v>0</v>
          </cell>
          <cell r="K42">
            <v>0</v>
          </cell>
        </row>
        <row r="43">
          <cell r="A43" t="str">
            <v>Northern Mariana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A44" t="str">
            <v>Ohio</v>
          </cell>
          <cell r="B44">
            <v>0</v>
          </cell>
          <cell r="C44">
            <v>0</v>
          </cell>
          <cell r="D44">
            <v>0</v>
          </cell>
          <cell r="E44">
            <v>70124656</v>
          </cell>
          <cell r="F44">
            <v>0</v>
          </cell>
          <cell r="G44">
            <v>0</v>
          </cell>
          <cell r="H44">
            <v>0</v>
          </cell>
          <cell r="I44">
            <v>70124656</v>
          </cell>
          <cell r="J44">
            <v>0</v>
          </cell>
          <cell r="K44">
            <v>0</v>
          </cell>
        </row>
        <row r="45">
          <cell r="A45" t="str">
            <v>Oklahoma</v>
          </cell>
          <cell r="B45">
            <v>0</v>
          </cell>
          <cell r="C45">
            <v>0</v>
          </cell>
          <cell r="D45">
            <v>0</v>
          </cell>
          <cell r="E45">
            <v>24909979</v>
          </cell>
          <cell r="F45">
            <v>0</v>
          </cell>
          <cell r="G45">
            <v>0</v>
          </cell>
          <cell r="H45">
            <v>0</v>
          </cell>
          <cell r="I45">
            <v>24909979</v>
          </cell>
          <cell r="J45">
            <v>0</v>
          </cell>
          <cell r="K45">
            <v>0</v>
          </cell>
        </row>
        <row r="46">
          <cell r="A46" t="str">
            <v>Oregon</v>
          </cell>
          <cell r="B46">
            <v>464501</v>
          </cell>
          <cell r="C46">
            <v>2769152</v>
          </cell>
          <cell r="D46">
            <v>277476</v>
          </cell>
          <cell r="E46">
            <v>14602042</v>
          </cell>
          <cell r="F46">
            <v>283192</v>
          </cell>
          <cell r="G46">
            <v>0</v>
          </cell>
          <cell r="H46">
            <v>0</v>
          </cell>
          <cell r="I46">
            <v>18396363</v>
          </cell>
          <cell r="J46">
            <v>1012427</v>
          </cell>
          <cell r="K46">
            <v>0</v>
          </cell>
        </row>
        <row r="47">
          <cell r="A47" t="str">
            <v>Pennsylvania</v>
          </cell>
          <cell r="B47">
            <v>0</v>
          </cell>
          <cell r="C47">
            <v>0</v>
          </cell>
          <cell r="D47">
            <v>0</v>
          </cell>
          <cell r="E47">
            <v>48157701</v>
          </cell>
          <cell r="F47">
            <v>0</v>
          </cell>
          <cell r="G47">
            <v>0</v>
          </cell>
          <cell r="H47">
            <v>0</v>
          </cell>
          <cell r="I47">
            <v>48157701</v>
          </cell>
          <cell r="J47">
            <v>7179103</v>
          </cell>
          <cell r="K47">
            <v>0</v>
          </cell>
        </row>
        <row r="48">
          <cell r="A48" t="str">
            <v>Puerto Rico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Rhode Island</v>
          </cell>
          <cell r="B49">
            <v>0</v>
          </cell>
          <cell r="C49">
            <v>0</v>
          </cell>
          <cell r="D49">
            <v>0</v>
          </cell>
          <cell r="E49">
            <v>6633774</v>
          </cell>
          <cell r="F49">
            <v>0</v>
          </cell>
          <cell r="G49">
            <v>0</v>
          </cell>
          <cell r="H49">
            <v>0</v>
          </cell>
          <cell r="I49">
            <v>6633774</v>
          </cell>
          <cell r="J49">
            <v>0</v>
          </cell>
          <cell r="K49">
            <v>0</v>
          </cell>
        </row>
        <row r="50">
          <cell r="A50" t="str">
            <v>South Carolina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9867439</v>
          </cell>
          <cell r="K50">
            <v>0</v>
          </cell>
        </row>
        <row r="51">
          <cell r="A51" t="str">
            <v>South Dakota</v>
          </cell>
          <cell r="B51">
            <v>0</v>
          </cell>
          <cell r="C51">
            <v>0</v>
          </cell>
          <cell r="D51">
            <v>0</v>
          </cell>
          <cell r="E51">
            <v>1710801</v>
          </cell>
          <cell r="F51">
            <v>0</v>
          </cell>
          <cell r="G51">
            <v>0</v>
          </cell>
          <cell r="H51">
            <v>0</v>
          </cell>
          <cell r="I51">
            <v>1710801</v>
          </cell>
          <cell r="J51">
            <v>0</v>
          </cell>
          <cell r="K51">
            <v>0</v>
          </cell>
        </row>
        <row r="52">
          <cell r="A52" t="str">
            <v>Tennessee</v>
          </cell>
          <cell r="B52">
            <v>384142</v>
          </cell>
          <cell r="C52">
            <v>1299489</v>
          </cell>
          <cell r="D52">
            <v>0</v>
          </cell>
          <cell r="E52">
            <v>34917442</v>
          </cell>
          <cell r="F52">
            <v>0</v>
          </cell>
          <cell r="G52">
            <v>618479</v>
          </cell>
          <cell r="H52">
            <v>482636</v>
          </cell>
          <cell r="I52">
            <v>37702188</v>
          </cell>
          <cell r="J52">
            <v>0</v>
          </cell>
          <cell r="K52">
            <v>0</v>
          </cell>
        </row>
        <row r="53">
          <cell r="A53" t="str">
            <v>Texas</v>
          </cell>
          <cell r="B53">
            <v>1353183</v>
          </cell>
          <cell r="C53">
            <v>0</v>
          </cell>
          <cell r="D53">
            <v>0</v>
          </cell>
          <cell r="E53">
            <v>50016238</v>
          </cell>
          <cell r="F53">
            <v>425176</v>
          </cell>
          <cell r="G53">
            <v>6099266</v>
          </cell>
          <cell r="H53">
            <v>1505787</v>
          </cell>
          <cell r="I53">
            <v>59399650</v>
          </cell>
          <cell r="J53">
            <v>444479</v>
          </cell>
          <cell r="K53">
            <v>0</v>
          </cell>
        </row>
        <row r="54">
          <cell r="A54" t="str">
            <v>Utah</v>
          </cell>
          <cell r="B54">
            <v>0</v>
          </cell>
          <cell r="C54">
            <v>0</v>
          </cell>
          <cell r="D54">
            <v>0</v>
          </cell>
          <cell r="E54">
            <v>12591564</v>
          </cell>
          <cell r="F54">
            <v>0</v>
          </cell>
          <cell r="G54">
            <v>0</v>
          </cell>
          <cell r="H54">
            <v>0</v>
          </cell>
          <cell r="I54">
            <v>12591564</v>
          </cell>
          <cell r="J54">
            <v>0</v>
          </cell>
          <cell r="K54">
            <v>0</v>
          </cell>
        </row>
        <row r="55">
          <cell r="A55" t="str">
            <v>Vermont</v>
          </cell>
          <cell r="B55">
            <v>50742</v>
          </cell>
          <cell r="C55">
            <v>461938</v>
          </cell>
          <cell r="D55">
            <v>0</v>
          </cell>
          <cell r="E55">
            <v>3082084</v>
          </cell>
          <cell r="F55">
            <v>27735</v>
          </cell>
          <cell r="G55">
            <v>37267</v>
          </cell>
          <cell r="H55">
            <v>285121</v>
          </cell>
          <cell r="I55">
            <v>3944887</v>
          </cell>
          <cell r="J55">
            <v>0</v>
          </cell>
          <cell r="K55">
            <v>0</v>
          </cell>
        </row>
        <row r="56">
          <cell r="A56" t="str">
            <v>Virgin Islands 1/</v>
          </cell>
        </row>
        <row r="57">
          <cell r="A57" t="str">
            <v>Virginia</v>
          </cell>
          <cell r="B57">
            <v>0</v>
          </cell>
          <cell r="C57">
            <v>0</v>
          </cell>
          <cell r="D57">
            <v>0</v>
          </cell>
          <cell r="E57">
            <v>21328766</v>
          </cell>
          <cell r="F57">
            <v>0</v>
          </cell>
          <cell r="G57">
            <v>0</v>
          </cell>
          <cell r="H57">
            <v>0</v>
          </cell>
          <cell r="I57">
            <v>21328766</v>
          </cell>
          <cell r="J57">
            <v>0</v>
          </cell>
          <cell r="K57">
            <v>0</v>
          </cell>
        </row>
        <row r="58">
          <cell r="A58" t="str">
            <v>Washington</v>
          </cell>
          <cell r="B58">
            <v>0</v>
          </cell>
          <cell r="C58">
            <v>0</v>
          </cell>
          <cell r="D58">
            <v>0</v>
          </cell>
          <cell r="E58">
            <v>34815559</v>
          </cell>
          <cell r="F58">
            <v>0</v>
          </cell>
          <cell r="G58">
            <v>0</v>
          </cell>
          <cell r="H58">
            <v>0</v>
          </cell>
          <cell r="I58">
            <v>34815559</v>
          </cell>
          <cell r="J58">
            <v>7067885</v>
          </cell>
          <cell r="K58">
            <v>0</v>
          </cell>
        </row>
        <row r="59">
          <cell r="A59" t="str">
            <v>West Virginia</v>
          </cell>
          <cell r="B59">
            <v>436307</v>
          </cell>
          <cell r="C59">
            <v>0</v>
          </cell>
          <cell r="D59">
            <v>0</v>
          </cell>
          <cell r="E59">
            <v>8076495</v>
          </cell>
          <cell r="F59">
            <v>214203</v>
          </cell>
          <cell r="G59">
            <v>0</v>
          </cell>
          <cell r="H59">
            <v>0</v>
          </cell>
          <cell r="I59">
            <v>8727005</v>
          </cell>
          <cell r="J59">
            <v>0</v>
          </cell>
          <cell r="K59">
            <v>0</v>
          </cell>
        </row>
        <row r="60">
          <cell r="A60" t="str">
            <v>Wisconsin</v>
          </cell>
          <cell r="B60">
            <v>0</v>
          </cell>
          <cell r="C60">
            <v>1200000</v>
          </cell>
          <cell r="D60">
            <v>0</v>
          </cell>
          <cell r="E60">
            <v>21443206</v>
          </cell>
          <cell r="F60">
            <v>869449</v>
          </cell>
          <cell r="G60">
            <v>998696</v>
          </cell>
          <cell r="H60">
            <v>0</v>
          </cell>
          <cell r="I60">
            <v>24511351</v>
          </cell>
          <cell r="J60">
            <v>0</v>
          </cell>
          <cell r="K60">
            <v>0</v>
          </cell>
        </row>
        <row r="61">
          <cell r="A61" t="str">
            <v>Wyoming</v>
          </cell>
          <cell r="B61">
            <v>0</v>
          </cell>
          <cell r="C61">
            <v>374891</v>
          </cell>
          <cell r="D61">
            <v>0</v>
          </cell>
          <cell r="E61">
            <v>2440150</v>
          </cell>
          <cell r="F61">
            <v>0</v>
          </cell>
          <cell r="G61">
            <v>0</v>
          </cell>
          <cell r="H61">
            <v>0</v>
          </cell>
          <cell r="I61">
            <v>2815041</v>
          </cell>
          <cell r="J61">
            <v>0</v>
          </cell>
          <cell r="K61">
            <v>0</v>
          </cell>
        </row>
      </sheetData>
      <sheetData sheetId="3">
        <row r="5">
          <cell r="A5" t="str">
            <v xml:space="preserve">State </v>
          </cell>
          <cell r="B5" t="str">
            <v>Admin</v>
          </cell>
          <cell r="C5" t="str">
            <v>Quality Activities</v>
          </cell>
          <cell r="D5" t="str">
            <v>Infant/Toddler Quality Activities</v>
          </cell>
          <cell r="E5" t="str">
            <v>Direct Services</v>
          </cell>
          <cell r="F5" t="str">
            <v>N-Dir Svcs Systems</v>
          </cell>
          <cell r="G5" t="str">
            <v>N-Dir Svcs Cert Prog Elig/Det</v>
          </cell>
          <cell r="H5" t="str">
            <v>N-Dir Svcs All Other</v>
          </cell>
          <cell r="I5" t="str">
            <v>Total Expenditures</v>
          </cell>
          <cell r="J5" t="str">
            <v>Unliquidated Obligations</v>
          </cell>
          <cell r="K5" t="str">
            <v>Unobligated Balance 1/</v>
          </cell>
        </row>
        <row r="6">
          <cell r="A6" t="str">
            <v>Alabama</v>
          </cell>
          <cell r="B6">
            <v>0</v>
          </cell>
          <cell r="C6">
            <v>0</v>
          </cell>
          <cell r="D6">
            <v>0</v>
          </cell>
          <cell r="E6">
            <v>30332079</v>
          </cell>
          <cell r="F6">
            <v>0</v>
          </cell>
          <cell r="G6">
            <v>20714</v>
          </cell>
          <cell r="H6">
            <v>2678869</v>
          </cell>
          <cell r="I6">
            <v>33031662</v>
          </cell>
          <cell r="J6">
            <v>1075817</v>
          </cell>
          <cell r="K6">
            <v>0</v>
          </cell>
        </row>
        <row r="7">
          <cell r="A7" t="str">
            <v>Alaska</v>
          </cell>
          <cell r="B7">
            <v>219078</v>
          </cell>
          <cell r="C7">
            <v>0</v>
          </cell>
          <cell r="D7">
            <v>0</v>
          </cell>
          <cell r="E7">
            <v>736499</v>
          </cell>
          <cell r="F7">
            <v>0</v>
          </cell>
          <cell r="G7">
            <v>3302855</v>
          </cell>
          <cell r="H7">
            <v>2697033</v>
          </cell>
          <cell r="I7">
            <v>6955465</v>
          </cell>
          <cell r="J7">
            <v>837823</v>
          </cell>
          <cell r="K7">
            <v>0</v>
          </cell>
        </row>
        <row r="8">
          <cell r="A8" t="str">
            <v>American Samoa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Arizona</v>
          </cell>
          <cell r="B9">
            <v>127029</v>
          </cell>
          <cell r="C9">
            <v>14948976</v>
          </cell>
          <cell r="D9">
            <v>0</v>
          </cell>
          <cell r="E9">
            <v>34125712</v>
          </cell>
          <cell r="F9">
            <v>380634</v>
          </cell>
          <cell r="G9">
            <v>194696</v>
          </cell>
          <cell r="H9">
            <v>0</v>
          </cell>
          <cell r="I9">
            <v>49777047</v>
          </cell>
          <cell r="J9">
            <v>3340610</v>
          </cell>
          <cell r="K9">
            <v>0</v>
          </cell>
        </row>
        <row r="10">
          <cell r="A10" t="str">
            <v>Arkansas</v>
          </cell>
          <cell r="B10">
            <v>0</v>
          </cell>
          <cell r="C10">
            <v>1628935</v>
          </cell>
          <cell r="D10">
            <v>0</v>
          </cell>
          <cell r="E10">
            <v>4416135</v>
          </cell>
          <cell r="F10">
            <v>0</v>
          </cell>
          <cell r="G10">
            <v>0</v>
          </cell>
          <cell r="H10">
            <v>0</v>
          </cell>
          <cell r="I10">
            <v>6045070</v>
          </cell>
          <cell r="J10">
            <v>14422920</v>
          </cell>
          <cell r="K10">
            <v>0</v>
          </cell>
        </row>
        <row r="11">
          <cell r="A11" t="str">
            <v>California</v>
          </cell>
          <cell r="B11">
            <v>10946375</v>
          </cell>
          <cell r="C11">
            <v>21105729</v>
          </cell>
          <cell r="D11">
            <v>0</v>
          </cell>
          <cell r="E11">
            <v>362538054</v>
          </cell>
          <cell r="F11">
            <v>0</v>
          </cell>
          <cell r="G11">
            <v>0</v>
          </cell>
          <cell r="H11">
            <v>24104785</v>
          </cell>
          <cell r="I11">
            <v>418694943</v>
          </cell>
          <cell r="J11">
            <v>11390744</v>
          </cell>
          <cell r="K11">
            <v>0</v>
          </cell>
        </row>
        <row r="12">
          <cell r="A12" t="str">
            <v>Colorado</v>
          </cell>
          <cell r="B12">
            <v>1004200</v>
          </cell>
          <cell r="C12">
            <v>6119567</v>
          </cell>
          <cell r="D12">
            <v>1606879</v>
          </cell>
          <cell r="E12">
            <v>46015169</v>
          </cell>
          <cell r="F12">
            <v>79502</v>
          </cell>
          <cell r="G12">
            <v>629611</v>
          </cell>
          <cell r="H12">
            <v>152024</v>
          </cell>
          <cell r="I12">
            <v>55606952</v>
          </cell>
          <cell r="J12">
            <v>9500660</v>
          </cell>
          <cell r="K12">
            <v>0</v>
          </cell>
        </row>
        <row r="13">
          <cell r="A13" t="str">
            <v>Connecticut</v>
          </cell>
          <cell r="B13">
            <v>0</v>
          </cell>
          <cell r="C13">
            <v>0</v>
          </cell>
          <cell r="D13">
            <v>997097</v>
          </cell>
          <cell r="E13">
            <v>27253989</v>
          </cell>
          <cell r="F13">
            <v>0</v>
          </cell>
          <cell r="G13">
            <v>0</v>
          </cell>
          <cell r="H13">
            <v>4985486</v>
          </cell>
          <cell r="I13">
            <v>33236572</v>
          </cell>
          <cell r="J13">
            <v>0</v>
          </cell>
          <cell r="K13">
            <v>0</v>
          </cell>
        </row>
        <row r="14">
          <cell r="A14" t="str">
            <v>Delaware</v>
          </cell>
          <cell r="B14">
            <v>0</v>
          </cell>
          <cell r="C14">
            <v>0</v>
          </cell>
          <cell r="D14">
            <v>0</v>
          </cell>
          <cell r="E14">
            <v>8195180</v>
          </cell>
          <cell r="F14">
            <v>0</v>
          </cell>
          <cell r="G14">
            <v>0</v>
          </cell>
          <cell r="H14">
            <v>0</v>
          </cell>
          <cell r="I14">
            <v>8195180</v>
          </cell>
          <cell r="J14">
            <v>0</v>
          </cell>
          <cell r="K14">
            <v>0</v>
          </cell>
        </row>
        <row r="15">
          <cell r="A15" t="str">
            <v>District of Columbia</v>
          </cell>
          <cell r="B15">
            <v>0</v>
          </cell>
          <cell r="C15">
            <v>2495651</v>
          </cell>
          <cell r="D15">
            <v>0</v>
          </cell>
          <cell r="E15">
            <v>1663768</v>
          </cell>
          <cell r="F15">
            <v>0</v>
          </cell>
          <cell r="G15">
            <v>0</v>
          </cell>
          <cell r="H15">
            <v>0</v>
          </cell>
          <cell r="I15">
            <v>4159419</v>
          </cell>
          <cell r="J15">
            <v>0</v>
          </cell>
          <cell r="K15">
            <v>0</v>
          </cell>
        </row>
        <row r="16">
          <cell r="A16" t="str">
            <v>Florida</v>
          </cell>
          <cell r="B16">
            <v>9226178</v>
          </cell>
          <cell r="C16">
            <v>17041221</v>
          </cell>
          <cell r="D16">
            <v>0</v>
          </cell>
          <cell r="E16">
            <v>96733402</v>
          </cell>
          <cell r="F16">
            <v>34541</v>
          </cell>
          <cell r="G16">
            <v>3266988</v>
          </cell>
          <cell r="H16">
            <v>3930612</v>
          </cell>
          <cell r="I16">
            <v>130232942</v>
          </cell>
          <cell r="J16">
            <v>15119746</v>
          </cell>
          <cell r="K16">
            <v>0</v>
          </cell>
        </row>
        <row r="17">
          <cell r="A17" t="str">
            <v>Georgia</v>
          </cell>
          <cell r="B17">
            <v>0</v>
          </cell>
          <cell r="C17">
            <v>0</v>
          </cell>
          <cell r="D17">
            <v>0</v>
          </cell>
          <cell r="E17">
            <v>85619611</v>
          </cell>
          <cell r="F17">
            <v>0</v>
          </cell>
          <cell r="G17">
            <v>0</v>
          </cell>
          <cell r="H17">
            <v>0</v>
          </cell>
          <cell r="I17">
            <v>85619611</v>
          </cell>
          <cell r="J17">
            <v>0</v>
          </cell>
          <cell r="K17">
            <v>0</v>
          </cell>
        </row>
        <row r="18">
          <cell r="A18" t="str">
            <v>Guam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>Hawaii</v>
          </cell>
          <cell r="B19">
            <v>840249</v>
          </cell>
          <cell r="C19">
            <v>2134367</v>
          </cell>
          <cell r="D19">
            <v>0</v>
          </cell>
          <cell r="E19">
            <v>9542979</v>
          </cell>
          <cell r="F19">
            <v>0</v>
          </cell>
          <cell r="G19">
            <v>180167</v>
          </cell>
          <cell r="H19">
            <v>0</v>
          </cell>
          <cell r="I19">
            <v>12697762</v>
          </cell>
          <cell r="J19">
            <v>275000</v>
          </cell>
          <cell r="K19">
            <v>0</v>
          </cell>
        </row>
        <row r="20">
          <cell r="A20" t="str">
            <v>Idaho</v>
          </cell>
          <cell r="B20">
            <v>0</v>
          </cell>
          <cell r="C20">
            <v>0</v>
          </cell>
          <cell r="D20">
            <v>0</v>
          </cell>
          <cell r="E20">
            <v>1704883</v>
          </cell>
          <cell r="F20">
            <v>0</v>
          </cell>
          <cell r="G20">
            <v>0</v>
          </cell>
          <cell r="H20">
            <v>0</v>
          </cell>
          <cell r="I20">
            <v>1704883</v>
          </cell>
          <cell r="J20">
            <v>6200000</v>
          </cell>
          <cell r="K20">
            <v>2386892</v>
          </cell>
        </row>
        <row r="21">
          <cell r="A21" t="str">
            <v>Illinois</v>
          </cell>
          <cell r="B21">
            <v>13463578</v>
          </cell>
          <cell r="C21">
            <v>0</v>
          </cell>
          <cell r="D21">
            <v>0</v>
          </cell>
          <cell r="E21">
            <v>98655131</v>
          </cell>
          <cell r="F21">
            <v>1462916</v>
          </cell>
          <cell r="G21">
            <v>16089391</v>
          </cell>
          <cell r="H21">
            <v>1051671</v>
          </cell>
          <cell r="I21">
            <v>130722687</v>
          </cell>
          <cell r="J21">
            <v>0</v>
          </cell>
          <cell r="K21">
            <v>0</v>
          </cell>
        </row>
        <row r="22">
          <cell r="A22" t="str">
            <v>Indiana</v>
          </cell>
          <cell r="B22">
            <v>0</v>
          </cell>
          <cell r="C22">
            <v>0</v>
          </cell>
          <cell r="D22">
            <v>0</v>
          </cell>
          <cell r="E22">
            <v>51241859</v>
          </cell>
          <cell r="F22">
            <v>0</v>
          </cell>
          <cell r="G22">
            <v>0</v>
          </cell>
          <cell r="H22">
            <v>0</v>
          </cell>
          <cell r="I22">
            <v>51241859</v>
          </cell>
          <cell r="J22">
            <v>3222819</v>
          </cell>
          <cell r="K22">
            <v>0</v>
          </cell>
        </row>
        <row r="23">
          <cell r="A23" t="str">
            <v>Iowa</v>
          </cell>
          <cell r="B23">
            <v>891793</v>
          </cell>
          <cell r="C23">
            <v>0</v>
          </cell>
          <cell r="D23">
            <v>0</v>
          </cell>
          <cell r="E23">
            <v>19235239</v>
          </cell>
          <cell r="F23">
            <v>0</v>
          </cell>
          <cell r="G23">
            <v>0</v>
          </cell>
          <cell r="H23">
            <v>7806753</v>
          </cell>
          <cell r="I23">
            <v>27933785</v>
          </cell>
          <cell r="J23">
            <v>841443</v>
          </cell>
          <cell r="K23">
            <v>0</v>
          </cell>
        </row>
        <row r="24">
          <cell r="A24" t="str">
            <v>Kansas</v>
          </cell>
          <cell r="B24">
            <v>0</v>
          </cell>
          <cell r="C24">
            <v>0</v>
          </cell>
          <cell r="D24">
            <v>0</v>
          </cell>
          <cell r="E24">
            <v>19422261</v>
          </cell>
          <cell r="F24">
            <v>0</v>
          </cell>
          <cell r="G24">
            <v>0</v>
          </cell>
          <cell r="H24">
            <v>0</v>
          </cell>
          <cell r="I24">
            <v>19422261</v>
          </cell>
          <cell r="J24">
            <v>0</v>
          </cell>
          <cell r="K24">
            <v>5772492</v>
          </cell>
        </row>
        <row r="25">
          <cell r="A25" t="str">
            <v>Kentucky</v>
          </cell>
          <cell r="B25">
            <v>0</v>
          </cell>
          <cell r="C25">
            <v>5691189</v>
          </cell>
          <cell r="D25">
            <v>0</v>
          </cell>
          <cell r="E25">
            <v>20731348</v>
          </cell>
          <cell r="F25">
            <v>0</v>
          </cell>
          <cell r="G25">
            <v>0</v>
          </cell>
          <cell r="H25">
            <v>0</v>
          </cell>
          <cell r="I25">
            <v>26422537</v>
          </cell>
          <cell r="J25">
            <v>6995524</v>
          </cell>
          <cell r="K25">
            <v>0</v>
          </cell>
        </row>
        <row r="26">
          <cell r="A26" t="str">
            <v>Louisiana</v>
          </cell>
          <cell r="B26">
            <v>0</v>
          </cell>
          <cell r="C26">
            <v>5139365</v>
          </cell>
          <cell r="D26">
            <v>2371342</v>
          </cell>
          <cell r="E26">
            <v>38091094</v>
          </cell>
          <cell r="F26">
            <v>0</v>
          </cell>
          <cell r="G26">
            <v>0</v>
          </cell>
          <cell r="H26">
            <v>0</v>
          </cell>
          <cell r="I26">
            <v>45601801</v>
          </cell>
          <cell r="J26">
            <v>0</v>
          </cell>
          <cell r="K26">
            <v>0</v>
          </cell>
        </row>
        <row r="27">
          <cell r="A27" t="str">
            <v>Maine</v>
          </cell>
          <cell r="B27">
            <v>0</v>
          </cell>
          <cell r="C27">
            <v>0</v>
          </cell>
          <cell r="D27">
            <v>0</v>
          </cell>
          <cell r="E27">
            <v>8757058</v>
          </cell>
          <cell r="F27">
            <v>0</v>
          </cell>
          <cell r="G27">
            <v>0</v>
          </cell>
          <cell r="H27">
            <v>0</v>
          </cell>
          <cell r="I27">
            <v>8757058</v>
          </cell>
          <cell r="J27">
            <v>0</v>
          </cell>
          <cell r="K27">
            <v>0</v>
          </cell>
        </row>
        <row r="28">
          <cell r="A28" t="str">
            <v>Maryland</v>
          </cell>
          <cell r="B28">
            <v>0</v>
          </cell>
          <cell r="C28">
            <v>0</v>
          </cell>
          <cell r="D28">
            <v>0</v>
          </cell>
          <cell r="E28">
            <v>53363192</v>
          </cell>
          <cell r="F28">
            <v>0</v>
          </cell>
          <cell r="G28">
            <v>551682</v>
          </cell>
          <cell r="H28">
            <v>7064396</v>
          </cell>
          <cell r="I28">
            <v>60979270</v>
          </cell>
          <cell r="J28">
            <v>0</v>
          </cell>
          <cell r="K28">
            <v>0</v>
          </cell>
        </row>
        <row r="29">
          <cell r="A29" t="str">
            <v>Massachusetts</v>
          </cell>
          <cell r="B29">
            <v>1225165</v>
          </cell>
          <cell r="C29">
            <v>10481487</v>
          </cell>
          <cell r="D29">
            <v>2664242</v>
          </cell>
          <cell r="E29">
            <v>45868101</v>
          </cell>
          <cell r="F29">
            <v>0</v>
          </cell>
          <cell r="G29">
            <v>0</v>
          </cell>
          <cell r="H29">
            <v>1290477</v>
          </cell>
          <cell r="I29">
            <v>61529472</v>
          </cell>
          <cell r="J29">
            <v>0</v>
          </cell>
          <cell r="K29">
            <v>0</v>
          </cell>
        </row>
        <row r="30">
          <cell r="A30" t="str">
            <v>Michigan</v>
          </cell>
          <cell r="B30">
            <v>0</v>
          </cell>
          <cell r="C30">
            <v>6590642</v>
          </cell>
          <cell r="D30">
            <v>0</v>
          </cell>
          <cell r="E30">
            <v>68624188</v>
          </cell>
          <cell r="F30">
            <v>0</v>
          </cell>
          <cell r="G30">
            <v>0</v>
          </cell>
          <cell r="H30">
            <v>0</v>
          </cell>
          <cell r="I30">
            <v>75214830</v>
          </cell>
          <cell r="J30">
            <v>0</v>
          </cell>
          <cell r="K30">
            <v>0</v>
          </cell>
        </row>
        <row r="31">
          <cell r="A31" t="str">
            <v>Minnesota</v>
          </cell>
          <cell r="B31">
            <v>0</v>
          </cell>
          <cell r="C31">
            <v>0</v>
          </cell>
          <cell r="D31">
            <v>0</v>
          </cell>
          <cell r="E31">
            <v>28492176</v>
          </cell>
          <cell r="F31">
            <v>0</v>
          </cell>
          <cell r="G31">
            <v>0</v>
          </cell>
          <cell r="H31">
            <v>0</v>
          </cell>
          <cell r="I31">
            <v>28492176</v>
          </cell>
          <cell r="J31">
            <v>15004241</v>
          </cell>
          <cell r="K31">
            <v>0</v>
          </cell>
        </row>
        <row r="32">
          <cell r="A32" t="str">
            <v>Mississippi</v>
          </cell>
          <cell r="B32">
            <v>0</v>
          </cell>
          <cell r="C32">
            <v>0</v>
          </cell>
          <cell r="D32">
            <v>0</v>
          </cell>
          <cell r="E32">
            <v>64397</v>
          </cell>
          <cell r="F32">
            <v>0</v>
          </cell>
          <cell r="G32">
            <v>21891</v>
          </cell>
          <cell r="H32">
            <v>0</v>
          </cell>
          <cell r="I32">
            <v>86288</v>
          </cell>
          <cell r="J32">
            <v>16357114</v>
          </cell>
          <cell r="K32">
            <v>0</v>
          </cell>
        </row>
        <row r="33">
          <cell r="A33" t="str">
            <v>Missouri</v>
          </cell>
          <cell r="B33">
            <v>1290329</v>
          </cell>
          <cell r="C33">
            <v>6683788</v>
          </cell>
          <cell r="D33">
            <v>4934074</v>
          </cell>
          <cell r="E33">
            <v>37563001</v>
          </cell>
          <cell r="F33">
            <v>0</v>
          </cell>
          <cell r="G33">
            <v>0</v>
          </cell>
          <cell r="H33">
            <v>0</v>
          </cell>
          <cell r="I33">
            <v>50471192</v>
          </cell>
          <cell r="J33">
            <v>0</v>
          </cell>
          <cell r="K33">
            <v>0</v>
          </cell>
        </row>
        <row r="34">
          <cell r="A34" t="str">
            <v>Montana</v>
          </cell>
          <cell r="B34">
            <v>0</v>
          </cell>
          <cell r="C34">
            <v>0</v>
          </cell>
          <cell r="D34">
            <v>0</v>
          </cell>
          <cell r="E34">
            <v>8090144</v>
          </cell>
          <cell r="F34">
            <v>0</v>
          </cell>
          <cell r="G34">
            <v>105336</v>
          </cell>
          <cell r="H34">
            <v>0</v>
          </cell>
          <cell r="I34">
            <v>8195480</v>
          </cell>
          <cell r="J34">
            <v>0</v>
          </cell>
          <cell r="K34">
            <v>0</v>
          </cell>
        </row>
        <row r="35">
          <cell r="A35" t="str">
            <v>Nebraska</v>
          </cell>
          <cell r="B35">
            <v>0</v>
          </cell>
          <cell r="C35">
            <v>0</v>
          </cell>
          <cell r="D35">
            <v>0</v>
          </cell>
          <cell r="E35">
            <v>21379566</v>
          </cell>
          <cell r="F35">
            <v>0</v>
          </cell>
          <cell r="G35">
            <v>0</v>
          </cell>
          <cell r="H35">
            <v>0</v>
          </cell>
          <cell r="I35">
            <v>21379566</v>
          </cell>
          <cell r="J35">
            <v>0</v>
          </cell>
          <cell r="K35">
            <v>0</v>
          </cell>
        </row>
        <row r="36">
          <cell r="A36" t="str">
            <v>Nevada</v>
          </cell>
          <cell r="B36">
            <v>3656</v>
          </cell>
          <cell r="C36">
            <v>1563645</v>
          </cell>
          <cell r="D36">
            <v>0</v>
          </cell>
          <cell r="E36">
            <v>19828701</v>
          </cell>
          <cell r="F36">
            <v>89224</v>
          </cell>
          <cell r="G36">
            <v>1024330</v>
          </cell>
          <cell r="H36">
            <v>385667</v>
          </cell>
          <cell r="I36">
            <v>22895223</v>
          </cell>
          <cell r="J36">
            <v>142905</v>
          </cell>
          <cell r="K36">
            <v>0</v>
          </cell>
        </row>
        <row r="37">
          <cell r="A37" t="str">
            <v>New Hampshire</v>
          </cell>
          <cell r="B37">
            <v>0</v>
          </cell>
          <cell r="C37">
            <v>0</v>
          </cell>
          <cell r="D37">
            <v>0</v>
          </cell>
          <cell r="E37">
            <v>11458328</v>
          </cell>
          <cell r="F37">
            <v>0</v>
          </cell>
          <cell r="G37">
            <v>0</v>
          </cell>
          <cell r="H37">
            <v>0</v>
          </cell>
          <cell r="I37">
            <v>11458328</v>
          </cell>
          <cell r="J37">
            <v>0</v>
          </cell>
          <cell r="K37">
            <v>223753</v>
          </cell>
        </row>
        <row r="38">
          <cell r="A38" t="str">
            <v>New Jersey</v>
          </cell>
          <cell r="B38">
            <v>7980972</v>
          </cell>
          <cell r="C38">
            <v>6019328</v>
          </cell>
          <cell r="D38">
            <v>0</v>
          </cell>
          <cell r="E38">
            <v>69910405</v>
          </cell>
          <cell r="F38">
            <v>1346015</v>
          </cell>
          <cell r="G38">
            <v>7456064</v>
          </cell>
          <cell r="H38">
            <v>0</v>
          </cell>
          <cell r="I38">
            <v>92712784</v>
          </cell>
          <cell r="J38">
            <v>0</v>
          </cell>
          <cell r="K38">
            <v>0</v>
          </cell>
        </row>
        <row r="39">
          <cell r="A39" t="str">
            <v>New Mexico</v>
          </cell>
          <cell r="B39">
            <v>0</v>
          </cell>
          <cell r="C39">
            <v>0</v>
          </cell>
          <cell r="D39">
            <v>0</v>
          </cell>
          <cell r="E39">
            <v>9105218</v>
          </cell>
          <cell r="F39">
            <v>0</v>
          </cell>
          <cell r="G39">
            <v>0</v>
          </cell>
          <cell r="H39">
            <v>0</v>
          </cell>
          <cell r="I39">
            <v>9105218</v>
          </cell>
          <cell r="J39">
            <v>5168909</v>
          </cell>
          <cell r="K39">
            <v>0</v>
          </cell>
        </row>
        <row r="40">
          <cell r="A40" t="str">
            <v>New York</v>
          </cell>
          <cell r="B40">
            <v>3148460</v>
          </cell>
          <cell r="C40">
            <v>0</v>
          </cell>
          <cell r="D40">
            <v>0</v>
          </cell>
          <cell r="E40">
            <v>179919129</v>
          </cell>
          <cell r="F40">
            <v>0</v>
          </cell>
          <cell r="G40">
            <v>0</v>
          </cell>
          <cell r="H40">
            <v>6928397</v>
          </cell>
          <cell r="I40">
            <v>189995986</v>
          </cell>
          <cell r="J40">
            <v>3710153</v>
          </cell>
          <cell r="K40">
            <v>0</v>
          </cell>
        </row>
        <row r="41">
          <cell r="A41" t="str">
            <v>North Carolina</v>
          </cell>
          <cell r="B41">
            <v>0</v>
          </cell>
          <cell r="C41">
            <v>0</v>
          </cell>
          <cell r="D41">
            <v>0</v>
          </cell>
          <cell r="E41">
            <v>75891167</v>
          </cell>
          <cell r="F41">
            <v>0</v>
          </cell>
          <cell r="G41">
            <v>0</v>
          </cell>
          <cell r="H41">
            <v>0</v>
          </cell>
          <cell r="I41">
            <v>75891167</v>
          </cell>
          <cell r="J41">
            <v>2262829</v>
          </cell>
          <cell r="K41">
            <v>0</v>
          </cell>
        </row>
        <row r="42">
          <cell r="A42" t="str">
            <v>North Dakota</v>
          </cell>
          <cell r="B42">
            <v>0</v>
          </cell>
          <cell r="C42">
            <v>1187892</v>
          </cell>
          <cell r="D42">
            <v>0</v>
          </cell>
          <cell r="E42">
            <v>7353442</v>
          </cell>
          <cell r="F42">
            <v>0</v>
          </cell>
          <cell r="G42">
            <v>0</v>
          </cell>
          <cell r="H42">
            <v>0</v>
          </cell>
          <cell r="I42">
            <v>8541334</v>
          </cell>
          <cell r="J42">
            <v>0</v>
          </cell>
          <cell r="K42">
            <v>0</v>
          </cell>
        </row>
        <row r="43">
          <cell r="A43" t="str">
            <v>Northern Mariana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A44" t="str">
            <v>Ohio</v>
          </cell>
          <cell r="B44">
            <v>0</v>
          </cell>
          <cell r="C44">
            <v>0</v>
          </cell>
          <cell r="D44">
            <v>0</v>
          </cell>
          <cell r="E44">
            <v>96955959</v>
          </cell>
          <cell r="F44">
            <v>0</v>
          </cell>
          <cell r="G44">
            <v>0</v>
          </cell>
          <cell r="H44">
            <v>0</v>
          </cell>
          <cell r="I44">
            <v>96955959</v>
          </cell>
          <cell r="J44">
            <v>-2287887</v>
          </cell>
          <cell r="K44">
            <v>0</v>
          </cell>
        </row>
        <row r="45">
          <cell r="A45" t="str">
            <v>Oklahoma</v>
          </cell>
          <cell r="B45">
            <v>0</v>
          </cell>
          <cell r="C45">
            <v>0</v>
          </cell>
          <cell r="D45">
            <v>0</v>
          </cell>
          <cell r="E45">
            <v>37596032</v>
          </cell>
          <cell r="F45">
            <v>0</v>
          </cell>
          <cell r="G45">
            <v>0</v>
          </cell>
          <cell r="H45">
            <v>0</v>
          </cell>
          <cell r="I45">
            <v>37596032</v>
          </cell>
          <cell r="J45">
            <v>859992</v>
          </cell>
          <cell r="K45">
            <v>0</v>
          </cell>
        </row>
        <row r="46">
          <cell r="A46" t="str">
            <v>Oregon</v>
          </cell>
          <cell r="B46">
            <v>231191</v>
          </cell>
          <cell r="C46">
            <v>2385813</v>
          </cell>
          <cell r="D46">
            <v>0</v>
          </cell>
          <cell r="E46">
            <v>22353238</v>
          </cell>
          <cell r="F46">
            <v>124953</v>
          </cell>
          <cell r="G46">
            <v>0</v>
          </cell>
          <cell r="H46">
            <v>0</v>
          </cell>
          <cell r="I46">
            <v>25095195</v>
          </cell>
          <cell r="J46">
            <v>6722545</v>
          </cell>
          <cell r="K46">
            <v>0</v>
          </cell>
        </row>
        <row r="47">
          <cell r="A47" t="str">
            <v>Pennsylvania</v>
          </cell>
          <cell r="B47">
            <v>453248</v>
          </cell>
          <cell r="C47">
            <v>0</v>
          </cell>
          <cell r="D47">
            <v>0</v>
          </cell>
          <cell r="E47">
            <v>119858400</v>
          </cell>
          <cell r="F47">
            <v>0</v>
          </cell>
          <cell r="G47">
            <v>0</v>
          </cell>
          <cell r="H47">
            <v>0</v>
          </cell>
          <cell r="I47">
            <v>120311648</v>
          </cell>
          <cell r="J47">
            <v>0</v>
          </cell>
          <cell r="K47">
            <v>0</v>
          </cell>
        </row>
        <row r="48">
          <cell r="A48" t="str">
            <v>Puerto Rico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Rhode Island</v>
          </cell>
          <cell r="B49">
            <v>0</v>
          </cell>
          <cell r="C49">
            <v>0</v>
          </cell>
          <cell r="D49">
            <v>0</v>
          </cell>
          <cell r="E49">
            <v>9073753</v>
          </cell>
          <cell r="F49">
            <v>0</v>
          </cell>
          <cell r="G49">
            <v>0</v>
          </cell>
          <cell r="H49">
            <v>0</v>
          </cell>
          <cell r="I49">
            <v>9073753</v>
          </cell>
          <cell r="J49">
            <v>0</v>
          </cell>
          <cell r="K49">
            <v>0</v>
          </cell>
        </row>
        <row r="50">
          <cell r="A50" t="str">
            <v>South Carolina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24674518</v>
          </cell>
          <cell r="K50">
            <v>0</v>
          </cell>
        </row>
        <row r="51">
          <cell r="A51" t="str">
            <v>South Dakota</v>
          </cell>
          <cell r="B51">
            <v>611244</v>
          </cell>
          <cell r="C51">
            <v>0</v>
          </cell>
          <cell r="D51">
            <v>0</v>
          </cell>
          <cell r="E51">
            <v>8480517</v>
          </cell>
          <cell r="F51">
            <v>0</v>
          </cell>
          <cell r="G51">
            <v>0</v>
          </cell>
          <cell r="H51">
            <v>152227</v>
          </cell>
          <cell r="I51">
            <v>9243988</v>
          </cell>
          <cell r="J51">
            <v>0</v>
          </cell>
          <cell r="K51">
            <v>0</v>
          </cell>
        </row>
        <row r="52">
          <cell r="A52" t="str">
            <v>Tennessee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33745419</v>
          </cell>
        </row>
        <row r="53">
          <cell r="A53" t="str">
            <v>Texas</v>
          </cell>
          <cell r="B53">
            <v>2565467</v>
          </cell>
          <cell r="C53">
            <v>21211885</v>
          </cell>
          <cell r="D53">
            <v>0</v>
          </cell>
          <cell r="E53">
            <v>153538477</v>
          </cell>
          <cell r="F53">
            <v>647368</v>
          </cell>
          <cell r="G53">
            <v>11490960</v>
          </cell>
          <cell r="H53">
            <v>6005665</v>
          </cell>
          <cell r="I53">
            <v>195459822</v>
          </cell>
          <cell r="J53">
            <v>59948340</v>
          </cell>
          <cell r="K53">
            <v>0</v>
          </cell>
        </row>
        <row r="54">
          <cell r="A54" t="str">
            <v>Utah</v>
          </cell>
          <cell r="B54">
            <v>0</v>
          </cell>
          <cell r="C54">
            <v>10319393</v>
          </cell>
          <cell r="D54">
            <v>0</v>
          </cell>
          <cell r="E54">
            <v>17667502</v>
          </cell>
          <cell r="F54">
            <v>48091</v>
          </cell>
          <cell r="G54">
            <v>317373</v>
          </cell>
          <cell r="H54">
            <v>0</v>
          </cell>
          <cell r="I54">
            <v>28352359</v>
          </cell>
          <cell r="J54">
            <v>1984060</v>
          </cell>
          <cell r="K54">
            <v>0</v>
          </cell>
        </row>
        <row r="55">
          <cell r="A55" t="str">
            <v>Vermont</v>
          </cell>
          <cell r="B55">
            <v>66229</v>
          </cell>
          <cell r="C55">
            <v>593556</v>
          </cell>
          <cell r="D55">
            <v>0</v>
          </cell>
          <cell r="E55">
            <v>3989440</v>
          </cell>
          <cell r="F55">
            <v>35287</v>
          </cell>
          <cell r="G55">
            <v>48194</v>
          </cell>
          <cell r="H55">
            <v>370872</v>
          </cell>
          <cell r="I55">
            <v>5103578</v>
          </cell>
          <cell r="J55">
            <v>0</v>
          </cell>
          <cell r="K55">
            <v>0</v>
          </cell>
        </row>
        <row r="56">
          <cell r="A56" t="str">
            <v>Virgin Islands 2/</v>
          </cell>
        </row>
        <row r="57">
          <cell r="A57" t="str">
            <v>Virginia</v>
          </cell>
          <cell r="B57">
            <v>5561210</v>
          </cell>
          <cell r="C57">
            <v>13560633</v>
          </cell>
          <cell r="D57">
            <v>0</v>
          </cell>
          <cell r="E57">
            <v>53020960</v>
          </cell>
          <cell r="F57">
            <v>1523261</v>
          </cell>
          <cell r="G57">
            <v>10991237</v>
          </cell>
          <cell r="H57">
            <v>227827</v>
          </cell>
          <cell r="I57">
            <v>84885128</v>
          </cell>
          <cell r="J57">
            <v>0</v>
          </cell>
          <cell r="K57">
            <v>0</v>
          </cell>
        </row>
        <row r="58">
          <cell r="A58" t="str">
            <v>Washington</v>
          </cell>
          <cell r="B58">
            <v>1540551</v>
          </cell>
          <cell r="C58">
            <v>0</v>
          </cell>
          <cell r="D58">
            <v>0</v>
          </cell>
          <cell r="E58">
            <v>46479554</v>
          </cell>
          <cell r="F58">
            <v>0</v>
          </cell>
          <cell r="G58">
            <v>0</v>
          </cell>
          <cell r="H58">
            <v>0</v>
          </cell>
          <cell r="I58">
            <v>48020105</v>
          </cell>
          <cell r="J58">
            <v>17088096</v>
          </cell>
          <cell r="K58">
            <v>0</v>
          </cell>
        </row>
        <row r="59">
          <cell r="A59" t="str">
            <v>West Virginia</v>
          </cell>
          <cell r="B59">
            <v>343222</v>
          </cell>
          <cell r="C59">
            <v>0</v>
          </cell>
          <cell r="D59">
            <v>0</v>
          </cell>
          <cell r="E59">
            <v>7397108</v>
          </cell>
          <cell r="F59">
            <v>0</v>
          </cell>
          <cell r="G59">
            <v>4361527</v>
          </cell>
          <cell r="H59">
            <v>0</v>
          </cell>
          <cell r="I59">
            <v>12101857</v>
          </cell>
          <cell r="J59">
            <v>0</v>
          </cell>
          <cell r="K59">
            <v>0</v>
          </cell>
        </row>
        <row r="60">
          <cell r="A60" t="str">
            <v>Wisconsin</v>
          </cell>
          <cell r="B60">
            <v>0</v>
          </cell>
          <cell r="C60">
            <v>11505508</v>
          </cell>
          <cell r="D60">
            <v>2000000</v>
          </cell>
          <cell r="E60">
            <v>30284396</v>
          </cell>
          <cell r="F60">
            <v>0</v>
          </cell>
          <cell r="G60">
            <v>5595228</v>
          </cell>
          <cell r="H60">
            <v>0</v>
          </cell>
          <cell r="I60">
            <v>49385132</v>
          </cell>
          <cell r="J60">
            <v>0</v>
          </cell>
          <cell r="K60">
            <v>0</v>
          </cell>
        </row>
        <row r="61">
          <cell r="A61" t="str">
            <v>Wyoming</v>
          </cell>
          <cell r="B61">
            <v>6202</v>
          </cell>
          <cell r="C61">
            <v>0</v>
          </cell>
          <cell r="D61">
            <v>0</v>
          </cell>
          <cell r="E61">
            <v>6433187</v>
          </cell>
          <cell r="F61">
            <v>0</v>
          </cell>
          <cell r="G61">
            <v>0</v>
          </cell>
          <cell r="H61">
            <v>0</v>
          </cell>
          <cell r="I61">
            <v>6439389</v>
          </cell>
          <cell r="J61">
            <v>0</v>
          </cell>
          <cell r="K61">
            <v>0</v>
          </cell>
        </row>
      </sheetData>
      <sheetData sheetId="4">
        <row r="6">
          <cell r="A6" t="str">
            <v>State</v>
          </cell>
          <cell r="B6" t="str">
            <v>Total Federal And State Expenditures</v>
          </cell>
          <cell r="C6" t="str">
            <v>FMAP</v>
          </cell>
          <cell r="D6" t="str">
            <v>Reported Federal Share</v>
          </cell>
          <cell r="E6" t="str">
            <v>Reported State Share 1/</v>
          </cell>
          <cell r="G6" t="str">
            <v>Regular</v>
          </cell>
          <cell r="H6" t="str">
            <v>Private</v>
          </cell>
          <cell r="I6" t="str">
            <v>Pre-K</v>
          </cell>
          <cell r="J6" t="str">
            <v>Total</v>
          </cell>
        </row>
        <row r="7">
          <cell r="A7" t="str">
            <v>Alabama</v>
          </cell>
          <cell r="B7">
            <v>33031662</v>
          </cell>
          <cell r="C7">
            <v>0.71440000000000003</v>
          </cell>
          <cell r="D7">
            <v>23597819</v>
          </cell>
          <cell r="E7">
            <v>9433843</v>
          </cell>
          <cell r="G7">
            <v>6474664</v>
          </cell>
          <cell r="H7">
            <v>0</v>
          </cell>
          <cell r="I7">
            <v>2959179</v>
          </cell>
          <cell r="J7">
            <v>9433843</v>
          </cell>
        </row>
        <row r="8">
          <cell r="A8" t="str">
            <v>Alaska</v>
          </cell>
          <cell r="B8">
            <v>6955465</v>
          </cell>
          <cell r="C8">
            <v>0.5</v>
          </cell>
          <cell r="D8">
            <v>3477733</v>
          </cell>
          <cell r="E8">
            <v>3477732</v>
          </cell>
          <cell r="G8">
            <v>3477732</v>
          </cell>
          <cell r="H8">
            <v>0</v>
          </cell>
          <cell r="I8">
            <v>0</v>
          </cell>
          <cell r="J8">
            <v>3477732</v>
          </cell>
        </row>
        <row r="9">
          <cell r="A9" t="str">
            <v>American Samoa</v>
          </cell>
          <cell r="B9">
            <v>0</v>
          </cell>
          <cell r="D9">
            <v>0</v>
          </cell>
          <cell r="E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Arizona</v>
          </cell>
          <cell r="B10">
            <v>49777047</v>
          </cell>
          <cell r="C10">
            <v>0.69889999999999997</v>
          </cell>
          <cell r="D10">
            <v>34789178</v>
          </cell>
          <cell r="E10">
            <v>14987869</v>
          </cell>
          <cell r="G10">
            <v>14987869</v>
          </cell>
          <cell r="H10">
            <v>0</v>
          </cell>
          <cell r="I10">
            <v>0</v>
          </cell>
          <cell r="J10">
            <v>14987869</v>
          </cell>
        </row>
        <row r="11">
          <cell r="A11" t="str">
            <v>Arkansas</v>
          </cell>
          <cell r="B11">
            <v>6045070</v>
          </cell>
          <cell r="C11">
            <v>0.7087</v>
          </cell>
          <cell r="D11">
            <v>2171867</v>
          </cell>
          <cell r="E11">
            <v>3873203</v>
          </cell>
          <cell r="G11">
            <v>3694661</v>
          </cell>
          <cell r="H11">
            <v>0</v>
          </cell>
          <cell r="I11">
            <v>178542</v>
          </cell>
          <cell r="J11">
            <v>3873203</v>
          </cell>
        </row>
        <row r="12">
          <cell r="A12" t="str">
            <v>California</v>
          </cell>
          <cell r="B12">
            <v>418694943</v>
          </cell>
          <cell r="C12">
            <v>0.5</v>
          </cell>
          <cell r="D12">
            <v>203652100</v>
          </cell>
          <cell r="E12">
            <v>215042843</v>
          </cell>
          <cell r="G12">
            <v>215042843</v>
          </cell>
          <cell r="H12">
            <v>0</v>
          </cell>
          <cell r="I12">
            <v>0</v>
          </cell>
          <cell r="J12">
            <v>215042843</v>
          </cell>
        </row>
        <row r="13">
          <cell r="A13" t="str">
            <v>Colorado</v>
          </cell>
          <cell r="B13">
            <v>55606952</v>
          </cell>
          <cell r="C13">
            <v>0.5</v>
          </cell>
          <cell r="D13">
            <v>20231174</v>
          </cell>
          <cell r="E13">
            <v>35375778</v>
          </cell>
          <cell r="G13">
            <v>34202905</v>
          </cell>
          <cell r="H13">
            <v>0</v>
          </cell>
          <cell r="I13">
            <v>1172873</v>
          </cell>
          <cell r="J13">
            <v>35375778</v>
          </cell>
        </row>
        <row r="14">
          <cell r="A14" t="str">
            <v>Connecticut</v>
          </cell>
          <cell r="B14">
            <v>33236572</v>
          </cell>
          <cell r="C14">
            <v>0.5</v>
          </cell>
          <cell r="D14">
            <v>16618286</v>
          </cell>
          <cell r="E14">
            <v>16618286</v>
          </cell>
          <cell r="G14">
            <v>11632801</v>
          </cell>
          <cell r="H14">
            <v>0</v>
          </cell>
          <cell r="I14">
            <v>4985485</v>
          </cell>
          <cell r="J14">
            <v>16618286</v>
          </cell>
        </row>
        <row r="15">
          <cell r="A15" t="str">
            <v>Delaware</v>
          </cell>
          <cell r="B15">
            <v>8195180</v>
          </cell>
          <cell r="C15">
            <v>0.56430000000000002</v>
          </cell>
          <cell r="D15">
            <v>4624540</v>
          </cell>
          <cell r="E15">
            <v>3570640</v>
          </cell>
          <cell r="G15">
            <v>3570640</v>
          </cell>
          <cell r="H15">
            <v>0</v>
          </cell>
          <cell r="I15">
            <v>0</v>
          </cell>
          <cell r="J15">
            <v>3570640</v>
          </cell>
        </row>
        <row r="16">
          <cell r="A16" t="str">
            <v>District of Columbia</v>
          </cell>
          <cell r="B16">
            <v>4159419</v>
          </cell>
          <cell r="C16">
            <v>0.7</v>
          </cell>
          <cell r="D16">
            <v>2911593</v>
          </cell>
          <cell r="E16">
            <v>1247826</v>
          </cell>
          <cell r="G16">
            <v>1247826</v>
          </cell>
          <cell r="H16">
            <v>0</v>
          </cell>
          <cell r="I16">
            <v>0</v>
          </cell>
          <cell r="J16">
            <v>1247826</v>
          </cell>
        </row>
        <row r="17">
          <cell r="A17" t="str">
            <v>Florida</v>
          </cell>
          <cell r="B17">
            <v>130232942</v>
          </cell>
          <cell r="C17">
            <v>0.6179</v>
          </cell>
          <cell r="D17">
            <v>80470935</v>
          </cell>
          <cell r="E17">
            <v>49762007</v>
          </cell>
          <cell r="G17">
            <v>27515614</v>
          </cell>
          <cell r="H17">
            <v>5179397</v>
          </cell>
          <cell r="I17">
            <v>17066996</v>
          </cell>
          <cell r="J17">
            <v>49762007</v>
          </cell>
        </row>
        <row r="18">
          <cell r="A18" t="str">
            <v>Georgia</v>
          </cell>
          <cell r="B18">
            <v>85619611</v>
          </cell>
          <cell r="C18">
            <v>0.68500000000000005</v>
          </cell>
          <cell r="D18">
            <v>58649433</v>
          </cell>
          <cell r="E18">
            <v>26970178</v>
          </cell>
          <cell r="G18">
            <v>26970178</v>
          </cell>
          <cell r="H18">
            <v>0</v>
          </cell>
          <cell r="I18">
            <v>0</v>
          </cell>
          <cell r="J18">
            <v>26970178</v>
          </cell>
        </row>
        <row r="19">
          <cell r="A19" t="str">
            <v>Guam</v>
          </cell>
          <cell r="B19">
            <v>0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Hawaii</v>
          </cell>
          <cell r="B20">
            <v>12697762</v>
          </cell>
          <cell r="C20">
            <v>0.54779999999999995</v>
          </cell>
          <cell r="D20">
            <v>6982124</v>
          </cell>
          <cell r="E20">
            <v>5715638</v>
          </cell>
          <cell r="G20">
            <v>5715638</v>
          </cell>
          <cell r="H20">
            <v>0</v>
          </cell>
          <cell r="I20">
            <v>0</v>
          </cell>
          <cell r="J20">
            <v>5715638</v>
          </cell>
        </row>
        <row r="21">
          <cell r="A21" t="str">
            <v>Idaho</v>
          </cell>
          <cell r="B21">
            <v>1704883</v>
          </cell>
          <cell r="C21">
            <v>0.7117</v>
          </cell>
          <cell r="D21">
            <v>1213365</v>
          </cell>
          <cell r="E21">
            <v>491518</v>
          </cell>
          <cell r="G21">
            <v>491518</v>
          </cell>
          <cell r="H21">
            <v>0</v>
          </cell>
          <cell r="I21">
            <v>0</v>
          </cell>
          <cell r="J21">
            <v>491518</v>
          </cell>
        </row>
        <row r="22">
          <cell r="A22" t="str">
            <v>Illinois</v>
          </cell>
          <cell r="B22">
            <v>130722687</v>
          </cell>
          <cell r="C22">
            <v>0.50739999999999996</v>
          </cell>
          <cell r="D22">
            <v>66328691</v>
          </cell>
          <cell r="E22">
            <v>64393996</v>
          </cell>
          <cell r="G22">
            <v>64393996</v>
          </cell>
          <cell r="H22">
            <v>0</v>
          </cell>
          <cell r="I22">
            <v>0</v>
          </cell>
          <cell r="J22">
            <v>64393996</v>
          </cell>
        </row>
        <row r="23">
          <cell r="A23" t="str">
            <v>Indiana</v>
          </cell>
          <cell r="B23">
            <v>51241859</v>
          </cell>
          <cell r="C23">
            <v>0.65590000000000004</v>
          </cell>
          <cell r="D23">
            <v>33609535</v>
          </cell>
          <cell r="E23">
            <v>17632324</v>
          </cell>
          <cell r="G23">
            <v>15077424</v>
          </cell>
          <cell r="H23">
            <v>0</v>
          </cell>
          <cell r="I23">
            <v>2554900</v>
          </cell>
          <cell r="J23">
            <v>17632324</v>
          </cell>
        </row>
        <row r="24">
          <cell r="A24" t="str">
            <v>Iowa</v>
          </cell>
          <cell r="B24">
            <v>27933785</v>
          </cell>
          <cell r="C24">
            <v>0.58479999999999999</v>
          </cell>
          <cell r="D24">
            <v>16335677</v>
          </cell>
          <cell r="E24">
            <v>11598108</v>
          </cell>
          <cell r="G24">
            <v>11598108</v>
          </cell>
          <cell r="H24">
            <v>0</v>
          </cell>
          <cell r="I24">
            <v>0</v>
          </cell>
          <cell r="J24">
            <v>11598108</v>
          </cell>
        </row>
        <row r="25">
          <cell r="A25" t="str">
            <v>Kansas</v>
          </cell>
          <cell r="B25">
            <v>19422261</v>
          </cell>
          <cell r="C25">
            <v>0.5474</v>
          </cell>
          <cell r="D25">
            <v>10631746</v>
          </cell>
          <cell r="E25">
            <v>8790515</v>
          </cell>
          <cell r="G25">
            <v>8790515</v>
          </cell>
          <cell r="H25">
            <v>0</v>
          </cell>
          <cell r="I25">
            <v>0</v>
          </cell>
          <cell r="J25">
            <v>8790515</v>
          </cell>
        </row>
        <row r="26">
          <cell r="A26" t="str">
            <v>Kentucky</v>
          </cell>
          <cell r="B26">
            <v>26422537</v>
          </cell>
          <cell r="C26">
            <v>0.7117</v>
          </cell>
          <cell r="D26">
            <v>16788110</v>
          </cell>
          <cell r="E26">
            <v>9634427</v>
          </cell>
          <cell r="G26">
            <v>9634427</v>
          </cell>
          <cell r="H26">
            <v>0</v>
          </cell>
          <cell r="I26">
            <v>0</v>
          </cell>
          <cell r="J26">
            <v>9634427</v>
          </cell>
        </row>
        <row r="27">
          <cell r="A27" t="str">
            <v>Louisiana</v>
          </cell>
          <cell r="B27">
            <v>45601801</v>
          </cell>
          <cell r="C27">
            <v>0.63690000000000002</v>
          </cell>
          <cell r="D27">
            <v>26403393</v>
          </cell>
          <cell r="E27">
            <v>19198408</v>
          </cell>
          <cell r="G27">
            <v>14492786</v>
          </cell>
          <cell r="H27">
            <v>0</v>
          </cell>
          <cell r="I27">
            <v>4705622</v>
          </cell>
          <cell r="J27">
            <v>19198408</v>
          </cell>
        </row>
        <row r="28">
          <cell r="A28" t="str">
            <v>Maine</v>
          </cell>
          <cell r="B28">
            <v>8757058</v>
          </cell>
          <cell r="C28">
            <v>0.64339999999999997</v>
          </cell>
          <cell r="D28">
            <v>5634291</v>
          </cell>
          <cell r="E28">
            <v>3122767</v>
          </cell>
          <cell r="G28">
            <v>3122767</v>
          </cell>
          <cell r="H28">
            <v>0</v>
          </cell>
          <cell r="I28">
            <v>0</v>
          </cell>
          <cell r="J28">
            <v>3122767</v>
          </cell>
        </row>
        <row r="29">
          <cell r="A29" t="str">
            <v>Maryland</v>
          </cell>
          <cell r="B29">
            <v>60979270</v>
          </cell>
          <cell r="C29">
            <v>0.5</v>
          </cell>
          <cell r="D29">
            <v>30489635</v>
          </cell>
          <cell r="E29">
            <v>30489635</v>
          </cell>
          <cell r="G29">
            <v>21342745</v>
          </cell>
          <cell r="H29">
            <v>0</v>
          </cell>
          <cell r="I29">
            <v>9146890</v>
          </cell>
          <cell r="J29">
            <v>30489635</v>
          </cell>
        </row>
        <row r="30">
          <cell r="A30" t="str">
            <v>Massachusetts</v>
          </cell>
          <cell r="B30">
            <v>61529472</v>
          </cell>
          <cell r="C30">
            <v>0.5</v>
          </cell>
          <cell r="D30">
            <v>30764736</v>
          </cell>
          <cell r="E30">
            <v>30764736</v>
          </cell>
          <cell r="G30">
            <v>30764736</v>
          </cell>
          <cell r="H30">
            <v>0</v>
          </cell>
          <cell r="I30">
            <v>0</v>
          </cell>
          <cell r="J30">
            <v>30764736</v>
          </cell>
        </row>
        <row r="31">
          <cell r="A31" t="str">
            <v>Michigan</v>
          </cell>
          <cell r="B31">
            <v>75214830</v>
          </cell>
          <cell r="C31">
            <v>0.64780000000000004</v>
          </cell>
          <cell r="D31">
            <v>48724167</v>
          </cell>
          <cell r="E31">
            <v>26490663</v>
          </cell>
          <cell r="G31">
            <v>19900021</v>
          </cell>
          <cell r="H31">
            <v>0</v>
          </cell>
          <cell r="I31">
            <v>6590642</v>
          </cell>
          <cell r="J31">
            <v>26490663</v>
          </cell>
        </row>
        <row r="32">
          <cell r="A32" t="str">
            <v>Minnesota</v>
          </cell>
          <cell r="B32">
            <v>28492176</v>
          </cell>
          <cell r="C32">
            <v>0.5</v>
          </cell>
          <cell r="D32">
            <v>14246088</v>
          </cell>
          <cell r="E32">
            <v>14246088</v>
          </cell>
          <cell r="G32">
            <v>14246088</v>
          </cell>
          <cell r="H32">
            <v>0</v>
          </cell>
          <cell r="I32">
            <v>0</v>
          </cell>
          <cell r="J32">
            <v>14246088</v>
          </cell>
        </row>
        <row r="33">
          <cell r="A33" t="str">
            <v>Mississippi</v>
          </cell>
          <cell r="B33">
            <v>86288</v>
          </cell>
          <cell r="C33">
            <v>0.75649999999999995</v>
          </cell>
          <cell r="D33">
            <v>64397</v>
          </cell>
          <cell r="E33">
            <v>21891</v>
          </cell>
          <cell r="G33">
            <v>21891</v>
          </cell>
          <cell r="H33">
            <v>0</v>
          </cell>
          <cell r="I33">
            <v>0</v>
          </cell>
          <cell r="J33">
            <v>21891</v>
          </cell>
        </row>
        <row r="34">
          <cell r="A34" t="str">
            <v>Missouri</v>
          </cell>
          <cell r="B34">
            <v>50471192</v>
          </cell>
          <cell r="C34">
            <v>0.64610000000000001</v>
          </cell>
          <cell r="D34">
            <v>32609437</v>
          </cell>
          <cell r="E34">
            <v>17861755</v>
          </cell>
          <cell r="G34">
            <v>17861755</v>
          </cell>
          <cell r="H34">
            <v>0</v>
          </cell>
          <cell r="I34">
            <v>0</v>
          </cell>
          <cell r="J34">
            <v>17861755</v>
          </cell>
        </row>
        <row r="35">
          <cell r="A35" t="str">
            <v>Montana</v>
          </cell>
          <cell r="B35">
            <v>8195480</v>
          </cell>
          <cell r="C35">
            <v>0.65380000000000005</v>
          </cell>
          <cell r="D35">
            <v>5358205</v>
          </cell>
          <cell r="E35">
            <v>2837275</v>
          </cell>
          <cell r="G35">
            <v>2837275</v>
          </cell>
          <cell r="H35">
            <v>0</v>
          </cell>
          <cell r="I35">
            <v>0</v>
          </cell>
          <cell r="J35">
            <v>2837275</v>
          </cell>
        </row>
        <row r="36">
          <cell r="A36" t="str">
            <v>Nebraska</v>
          </cell>
          <cell r="B36">
            <v>21379566</v>
          </cell>
          <cell r="C36">
            <v>0.52549999999999997</v>
          </cell>
          <cell r="D36">
            <v>10810607</v>
          </cell>
          <cell r="E36">
            <v>10568959</v>
          </cell>
          <cell r="G36">
            <v>10568959</v>
          </cell>
          <cell r="H36">
            <v>0</v>
          </cell>
          <cell r="I36">
            <v>0</v>
          </cell>
          <cell r="J36">
            <v>10568959</v>
          </cell>
        </row>
        <row r="37">
          <cell r="A37" t="str">
            <v>Nevada</v>
          </cell>
          <cell r="B37">
            <v>22895223</v>
          </cell>
          <cell r="C37">
            <v>0.65749999999999997</v>
          </cell>
          <cell r="D37">
            <v>15053609</v>
          </cell>
          <cell r="E37">
            <v>7841614</v>
          </cell>
          <cell r="G37">
            <v>0</v>
          </cell>
          <cell r="H37">
            <v>7841614</v>
          </cell>
          <cell r="I37">
            <v>0</v>
          </cell>
          <cell r="J37">
            <v>7841614</v>
          </cell>
        </row>
        <row r="38">
          <cell r="A38" t="str">
            <v>New Hampshire</v>
          </cell>
          <cell r="B38">
            <v>11458328</v>
          </cell>
          <cell r="C38">
            <v>0.5</v>
          </cell>
          <cell r="D38">
            <v>5729164</v>
          </cell>
          <cell r="E38">
            <v>5729164</v>
          </cell>
          <cell r="G38">
            <v>5729164</v>
          </cell>
          <cell r="H38">
            <v>0</v>
          </cell>
          <cell r="I38">
            <v>0</v>
          </cell>
          <cell r="J38">
            <v>5729164</v>
          </cell>
        </row>
        <row r="39">
          <cell r="A39" t="str">
            <v>New Jersey</v>
          </cell>
          <cell r="B39">
            <v>92712784</v>
          </cell>
          <cell r="C39">
            <v>0.5</v>
          </cell>
          <cell r="D39">
            <v>46356392</v>
          </cell>
          <cell r="E39">
            <v>46356392</v>
          </cell>
          <cell r="G39">
            <v>46356392</v>
          </cell>
          <cell r="H39">
            <v>0</v>
          </cell>
          <cell r="I39">
            <v>0</v>
          </cell>
          <cell r="J39">
            <v>46356392</v>
          </cell>
        </row>
        <row r="40">
          <cell r="A40" t="str">
            <v>New Mexico</v>
          </cell>
          <cell r="B40">
            <v>9105218</v>
          </cell>
          <cell r="C40">
            <v>0.72160000000000002</v>
          </cell>
          <cell r="D40">
            <v>6570325</v>
          </cell>
          <cell r="E40">
            <v>2534893</v>
          </cell>
          <cell r="G40">
            <v>2534893</v>
          </cell>
          <cell r="H40">
            <v>0</v>
          </cell>
          <cell r="I40">
            <v>0</v>
          </cell>
          <cell r="J40">
            <v>2534893</v>
          </cell>
        </row>
        <row r="41">
          <cell r="A41" t="str">
            <v>New York</v>
          </cell>
          <cell r="B41">
            <v>189995986</v>
          </cell>
          <cell r="C41">
            <v>0.5</v>
          </cell>
          <cell r="D41">
            <v>94997993</v>
          </cell>
          <cell r="E41">
            <v>94997993</v>
          </cell>
          <cell r="G41">
            <v>94997993</v>
          </cell>
          <cell r="H41">
            <v>0</v>
          </cell>
          <cell r="I41">
            <v>0</v>
          </cell>
          <cell r="J41">
            <v>94997993</v>
          </cell>
        </row>
        <row r="42">
          <cell r="A42" t="str">
            <v>North Carolina</v>
          </cell>
          <cell r="B42">
            <v>75891167</v>
          </cell>
          <cell r="C42">
            <v>0.67610000000000003</v>
          </cell>
          <cell r="D42">
            <v>51310018</v>
          </cell>
          <cell r="E42">
            <v>24581149</v>
          </cell>
          <cell r="G42">
            <v>17170992</v>
          </cell>
          <cell r="H42">
            <v>0</v>
          </cell>
          <cell r="I42">
            <v>7410157</v>
          </cell>
          <cell r="J42">
            <v>24581149</v>
          </cell>
        </row>
        <row r="43">
          <cell r="A43" t="str">
            <v>North Dakota</v>
          </cell>
          <cell r="B43">
            <v>8541334</v>
          </cell>
          <cell r="C43">
            <v>0.5</v>
          </cell>
          <cell r="D43">
            <v>4270667</v>
          </cell>
          <cell r="E43">
            <v>4270667</v>
          </cell>
          <cell r="G43">
            <v>4270667</v>
          </cell>
          <cell r="H43">
            <v>0</v>
          </cell>
          <cell r="I43">
            <v>0</v>
          </cell>
          <cell r="J43">
            <v>4270667</v>
          </cell>
        </row>
        <row r="44">
          <cell r="A44" t="str">
            <v>Northern Mariana</v>
          </cell>
          <cell r="B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A45" t="str">
            <v>Ohio</v>
          </cell>
          <cell r="B45">
            <v>96955959</v>
          </cell>
          <cell r="C45">
            <v>0.62780000000000002</v>
          </cell>
          <cell r="D45">
            <v>60868951</v>
          </cell>
          <cell r="E45">
            <v>36087008</v>
          </cell>
          <cell r="G45">
            <v>36087008</v>
          </cell>
          <cell r="H45">
            <v>0</v>
          </cell>
          <cell r="I45">
            <v>0</v>
          </cell>
          <cell r="J45">
            <v>36087008</v>
          </cell>
        </row>
        <row r="46">
          <cell r="A46" t="str">
            <v>Oklahoma</v>
          </cell>
          <cell r="B46">
            <v>37596032</v>
          </cell>
          <cell r="C46">
            <v>0.5857</v>
          </cell>
          <cell r="D46">
            <v>22019996</v>
          </cell>
          <cell r="E46">
            <v>15576036</v>
          </cell>
          <cell r="G46">
            <v>10903226</v>
          </cell>
          <cell r="H46">
            <v>0</v>
          </cell>
          <cell r="I46">
            <v>4672810</v>
          </cell>
          <cell r="J46">
            <v>15576036</v>
          </cell>
        </row>
        <row r="47">
          <cell r="A47" t="str">
            <v>Oregon</v>
          </cell>
          <cell r="B47">
            <v>25095195</v>
          </cell>
          <cell r="C47">
            <v>0.63619999999999999</v>
          </cell>
          <cell r="D47">
            <v>13519901</v>
          </cell>
          <cell r="E47">
            <v>11575294</v>
          </cell>
          <cell r="G47">
            <v>8102706</v>
          </cell>
          <cell r="H47">
            <v>0</v>
          </cell>
          <cell r="I47">
            <v>3472588</v>
          </cell>
          <cell r="J47">
            <v>11575294</v>
          </cell>
        </row>
        <row r="48">
          <cell r="A48" t="str">
            <v>Pennsylvania</v>
          </cell>
          <cell r="B48">
            <v>120311648</v>
          </cell>
          <cell r="C48">
            <v>0.51819999999999999</v>
          </cell>
          <cell r="D48">
            <v>62345496</v>
          </cell>
          <cell r="E48">
            <v>57966152</v>
          </cell>
          <cell r="G48">
            <v>57966152</v>
          </cell>
          <cell r="H48">
            <v>0</v>
          </cell>
          <cell r="I48">
            <v>0</v>
          </cell>
          <cell r="J48">
            <v>57966152</v>
          </cell>
        </row>
        <row r="49">
          <cell r="A49" t="str">
            <v>Puerto Rico</v>
          </cell>
          <cell r="B49">
            <v>0</v>
          </cell>
          <cell r="C49">
            <v>0.55000000000000004</v>
          </cell>
          <cell r="D49">
            <v>0</v>
          </cell>
          <cell r="E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A50" t="str">
            <v>Rhode Island</v>
          </cell>
          <cell r="B50">
            <v>9073753</v>
          </cell>
          <cell r="C50">
            <v>0.51449999999999996</v>
          </cell>
          <cell r="D50">
            <v>4668446</v>
          </cell>
          <cell r="E50">
            <v>4405307</v>
          </cell>
          <cell r="G50">
            <v>4405307</v>
          </cell>
          <cell r="H50">
            <v>0</v>
          </cell>
          <cell r="I50">
            <v>0</v>
          </cell>
          <cell r="J50">
            <v>4405307</v>
          </cell>
        </row>
        <row r="51">
          <cell r="A51" t="str">
            <v>South Carolina</v>
          </cell>
          <cell r="B51">
            <v>0</v>
          </cell>
          <cell r="C51">
            <v>0.71579999999999999</v>
          </cell>
          <cell r="D51">
            <v>0</v>
          </cell>
          <cell r="E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A52" t="str">
            <v>South Dakota</v>
          </cell>
          <cell r="B52">
            <v>9243988</v>
          </cell>
          <cell r="C52">
            <v>0.5534</v>
          </cell>
          <cell r="D52">
            <v>5115623</v>
          </cell>
          <cell r="E52">
            <v>4128365</v>
          </cell>
          <cell r="G52">
            <v>4128365</v>
          </cell>
          <cell r="H52">
            <v>0</v>
          </cell>
          <cell r="I52">
            <v>0</v>
          </cell>
          <cell r="J52">
            <v>4128365</v>
          </cell>
        </row>
        <row r="53">
          <cell r="A53" t="str">
            <v>Tennessee</v>
          </cell>
          <cell r="B53">
            <v>0</v>
          </cell>
          <cell r="C53">
            <v>0.65820000000000001</v>
          </cell>
          <cell r="D53">
            <v>0</v>
          </cell>
          <cell r="E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A54" t="str">
            <v>Texas</v>
          </cell>
          <cell r="B54">
            <v>195459822</v>
          </cell>
          <cell r="C54">
            <v>0.56879999999999997</v>
          </cell>
          <cell r="D54">
            <v>111177547</v>
          </cell>
          <cell r="E54">
            <v>84282275</v>
          </cell>
          <cell r="G54">
            <v>60491957</v>
          </cell>
          <cell r="H54">
            <v>26446</v>
          </cell>
          <cell r="I54">
            <v>23763872</v>
          </cell>
          <cell r="J54">
            <v>84282275</v>
          </cell>
        </row>
        <row r="55">
          <cell r="A55" t="str">
            <v>Utah</v>
          </cell>
          <cell r="B55">
            <v>28352359</v>
          </cell>
          <cell r="C55">
            <v>0.7026</v>
          </cell>
          <cell r="D55">
            <v>19920364</v>
          </cell>
          <cell r="E55">
            <v>8431995</v>
          </cell>
          <cell r="G55">
            <v>5902427</v>
          </cell>
          <cell r="H55">
            <v>0</v>
          </cell>
          <cell r="I55">
            <v>2529568</v>
          </cell>
          <cell r="J55">
            <v>8431995</v>
          </cell>
        </row>
        <row r="56">
          <cell r="A56" t="str">
            <v>Vermont</v>
          </cell>
          <cell r="B56">
            <v>5103578</v>
          </cell>
          <cell r="C56">
            <v>0.53469999999999995</v>
          </cell>
          <cell r="D56">
            <v>2728883</v>
          </cell>
          <cell r="E56">
            <v>2374695</v>
          </cell>
          <cell r="G56">
            <v>2374695</v>
          </cell>
          <cell r="H56">
            <v>0</v>
          </cell>
          <cell r="I56">
            <v>0</v>
          </cell>
          <cell r="J56">
            <v>2374695</v>
          </cell>
        </row>
        <row r="57">
          <cell r="A57" t="str">
            <v>Virgin Islands</v>
          </cell>
          <cell r="B57">
            <v>0</v>
          </cell>
          <cell r="D57">
            <v>0</v>
          </cell>
          <cell r="E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Virginia</v>
          </cell>
          <cell r="B58">
            <v>84885128</v>
          </cell>
          <cell r="C58">
            <v>0.5</v>
          </cell>
          <cell r="D58">
            <v>42442564</v>
          </cell>
          <cell r="E58">
            <v>42442564</v>
          </cell>
          <cell r="G58">
            <v>29739476</v>
          </cell>
          <cell r="H58">
            <v>0</v>
          </cell>
          <cell r="I58">
            <v>12703088</v>
          </cell>
          <cell r="J58">
            <v>42442564</v>
          </cell>
        </row>
        <row r="59">
          <cell r="A59" t="str">
            <v>Washington</v>
          </cell>
          <cell r="B59">
            <v>48020105</v>
          </cell>
          <cell r="C59">
            <v>0.5</v>
          </cell>
          <cell r="D59">
            <v>20409783</v>
          </cell>
          <cell r="E59">
            <v>27610322</v>
          </cell>
          <cell r="G59">
            <v>20409683</v>
          </cell>
          <cell r="H59">
            <v>0</v>
          </cell>
          <cell r="I59">
            <v>7200639</v>
          </cell>
          <cell r="J59">
            <v>27610322</v>
          </cell>
        </row>
        <row r="60">
          <cell r="A60" t="str">
            <v>West Virginia</v>
          </cell>
          <cell r="B60">
            <v>12101857</v>
          </cell>
          <cell r="C60">
            <v>0.73240000000000005</v>
          </cell>
          <cell r="D60">
            <v>8863400</v>
          </cell>
          <cell r="E60">
            <v>3238457</v>
          </cell>
          <cell r="G60">
            <v>3238457</v>
          </cell>
          <cell r="H60">
            <v>0</v>
          </cell>
          <cell r="I60">
            <v>0</v>
          </cell>
          <cell r="J60">
            <v>3238457</v>
          </cell>
        </row>
        <row r="61">
          <cell r="A61" t="str">
            <v>Wisconsin</v>
          </cell>
          <cell r="B61">
            <v>49385132</v>
          </cell>
          <cell r="C61">
            <v>0.5877</v>
          </cell>
          <cell r="D61">
            <v>29023642</v>
          </cell>
          <cell r="E61">
            <v>20361490</v>
          </cell>
          <cell r="G61">
            <v>14253043</v>
          </cell>
          <cell r="H61">
            <v>0</v>
          </cell>
          <cell r="I61">
            <v>6108447</v>
          </cell>
          <cell r="J61">
            <v>20361490</v>
          </cell>
        </row>
        <row r="62">
          <cell r="A62" t="str">
            <v>Wyoming</v>
          </cell>
          <cell r="B62">
            <v>6439389</v>
          </cell>
          <cell r="C62">
            <v>0.5</v>
          </cell>
          <cell r="D62">
            <v>3219694</v>
          </cell>
          <cell r="E62">
            <v>3219695</v>
          </cell>
          <cell r="G62">
            <v>3219695</v>
          </cell>
          <cell r="H62">
            <v>0</v>
          </cell>
          <cell r="I62">
            <v>0</v>
          </cell>
          <cell r="J62">
            <v>3219695</v>
          </cell>
        </row>
      </sheetData>
      <sheetData sheetId="5">
        <row r="5">
          <cell r="A5" t="str">
            <v>State</v>
          </cell>
          <cell r="B5" t="str">
            <v>Admin</v>
          </cell>
          <cell r="C5" t="str">
            <v>Quality Activities</v>
          </cell>
          <cell r="D5" t="str">
            <v>Targeted Funds Infant and Toddler 1/</v>
          </cell>
          <cell r="E5" t="str">
            <v>Targeted Funds Quality Activities 2/</v>
          </cell>
          <cell r="F5" t="str">
            <v>Targeted Funds School Age R &amp; R 3/</v>
          </cell>
          <cell r="G5" t="str">
            <v>Infant/Toddler Quality Activities</v>
          </cell>
          <cell r="H5" t="str">
            <v>Direct 
Services</v>
          </cell>
          <cell r="I5" t="str">
            <v>N-Dir Svcs Systems</v>
          </cell>
          <cell r="J5" t="str">
            <v>N-Dir Svcs Cert Prog Elig/Det</v>
          </cell>
          <cell r="K5" t="str">
            <v>N-Dir Svcs All Other</v>
          </cell>
          <cell r="L5" t="str">
            <v>Total Expenditures</v>
          </cell>
          <cell r="M5" t="str">
            <v xml:space="preserve">Unliquidated Obligations </v>
          </cell>
          <cell r="N5" t="str">
            <v>Unobligated Balances</v>
          </cell>
        </row>
        <row r="6">
          <cell r="A6" t="str">
            <v>Alabama</v>
          </cell>
          <cell r="B6">
            <v>433083</v>
          </cell>
          <cell r="C6">
            <v>11654906</v>
          </cell>
          <cell r="D6">
            <v>0</v>
          </cell>
          <cell r="E6">
            <v>0</v>
          </cell>
          <cell r="F6">
            <v>0</v>
          </cell>
          <cell r="G6">
            <v>3592950</v>
          </cell>
          <cell r="H6">
            <v>23419442</v>
          </cell>
          <cell r="I6">
            <v>1696121</v>
          </cell>
          <cell r="J6">
            <v>115488</v>
          </cell>
          <cell r="K6">
            <v>0</v>
          </cell>
          <cell r="L6">
            <v>40911990</v>
          </cell>
          <cell r="M6">
            <v>15000000</v>
          </cell>
          <cell r="N6">
            <v>37740697</v>
          </cell>
        </row>
        <row r="7">
          <cell r="A7" t="str">
            <v>Alaska</v>
          </cell>
          <cell r="B7">
            <v>808370</v>
          </cell>
          <cell r="C7">
            <v>1813489</v>
          </cell>
          <cell r="D7">
            <v>0</v>
          </cell>
          <cell r="E7">
            <v>0</v>
          </cell>
          <cell r="F7">
            <v>0</v>
          </cell>
          <cell r="G7">
            <v>909244</v>
          </cell>
          <cell r="H7">
            <v>13593113</v>
          </cell>
          <cell r="I7">
            <v>33899</v>
          </cell>
          <cell r="J7">
            <v>0</v>
          </cell>
          <cell r="K7">
            <v>0</v>
          </cell>
          <cell r="L7">
            <v>17158115</v>
          </cell>
          <cell r="M7">
            <v>0</v>
          </cell>
          <cell r="N7">
            <v>974091</v>
          </cell>
        </row>
        <row r="8">
          <cell r="A8" t="str">
            <v>American Samoa</v>
          </cell>
          <cell r="B8">
            <v>33695</v>
          </cell>
          <cell r="C8">
            <v>53911</v>
          </cell>
          <cell r="D8">
            <v>13478</v>
          </cell>
          <cell r="E8">
            <v>26956</v>
          </cell>
          <cell r="F8">
            <v>26956</v>
          </cell>
          <cell r="G8">
            <v>20217</v>
          </cell>
          <cell r="H8">
            <v>471724</v>
          </cell>
          <cell r="I8">
            <v>6739</v>
          </cell>
          <cell r="J8">
            <v>13478</v>
          </cell>
          <cell r="K8">
            <v>6738</v>
          </cell>
          <cell r="L8">
            <v>673892</v>
          </cell>
          <cell r="M8">
            <v>0</v>
          </cell>
          <cell r="N8">
            <v>6161390</v>
          </cell>
        </row>
        <row r="9">
          <cell r="A9" t="str">
            <v>Arizona</v>
          </cell>
          <cell r="B9">
            <v>1728505</v>
          </cell>
          <cell r="C9">
            <v>3716827</v>
          </cell>
          <cell r="D9">
            <v>0</v>
          </cell>
          <cell r="E9">
            <v>0</v>
          </cell>
          <cell r="F9">
            <v>0</v>
          </cell>
          <cell r="G9">
            <v>727492</v>
          </cell>
          <cell r="H9">
            <v>10189554</v>
          </cell>
          <cell r="I9">
            <v>980507</v>
          </cell>
          <cell r="J9">
            <v>3453478</v>
          </cell>
          <cell r="K9">
            <v>0</v>
          </cell>
          <cell r="L9">
            <v>20796363</v>
          </cell>
          <cell r="M9">
            <v>106231228</v>
          </cell>
          <cell r="N9">
            <v>0</v>
          </cell>
        </row>
        <row r="10">
          <cell r="A10" t="str">
            <v>Arkansas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2179846</v>
          </cell>
          <cell r="H10">
            <v>14957616</v>
          </cell>
          <cell r="I10">
            <v>0</v>
          </cell>
          <cell r="J10">
            <v>0</v>
          </cell>
          <cell r="K10">
            <v>0</v>
          </cell>
          <cell r="L10">
            <v>17137462</v>
          </cell>
          <cell r="M10">
            <v>8337346</v>
          </cell>
          <cell r="N10">
            <v>33707625</v>
          </cell>
        </row>
        <row r="11">
          <cell r="A11" t="str">
            <v>California</v>
          </cell>
          <cell r="B11">
            <v>0</v>
          </cell>
          <cell r="C11">
            <v>10048157</v>
          </cell>
          <cell r="D11">
            <v>0</v>
          </cell>
          <cell r="E11">
            <v>0</v>
          </cell>
          <cell r="F11">
            <v>0</v>
          </cell>
          <cell r="G11">
            <v>16685760</v>
          </cell>
          <cell r="H11">
            <v>215166309</v>
          </cell>
          <cell r="I11">
            <v>0</v>
          </cell>
          <cell r="J11">
            <v>0</v>
          </cell>
          <cell r="K11">
            <v>35706389</v>
          </cell>
          <cell r="L11">
            <v>277606615</v>
          </cell>
          <cell r="M11">
            <v>203356105</v>
          </cell>
          <cell r="N11">
            <v>52290901</v>
          </cell>
        </row>
        <row r="12">
          <cell r="A12" t="str">
            <v>Colorado</v>
          </cell>
          <cell r="B12">
            <v>1670333</v>
          </cell>
          <cell r="C12">
            <v>3578351</v>
          </cell>
          <cell r="D12">
            <v>0</v>
          </cell>
          <cell r="E12">
            <v>0</v>
          </cell>
          <cell r="F12">
            <v>0</v>
          </cell>
          <cell r="G12">
            <v>166665</v>
          </cell>
          <cell r="H12">
            <v>16495462</v>
          </cell>
          <cell r="I12">
            <v>5794319</v>
          </cell>
          <cell r="J12">
            <v>7115848</v>
          </cell>
          <cell r="K12">
            <v>58</v>
          </cell>
          <cell r="L12">
            <v>34821036</v>
          </cell>
          <cell r="M12">
            <v>34257481</v>
          </cell>
          <cell r="N12">
            <v>0</v>
          </cell>
        </row>
        <row r="13">
          <cell r="A13" t="str">
            <v>Connecticut</v>
          </cell>
          <cell r="B13">
            <v>26495</v>
          </cell>
          <cell r="C13">
            <v>9504447</v>
          </cell>
          <cell r="D13">
            <v>0</v>
          </cell>
          <cell r="E13">
            <v>0</v>
          </cell>
          <cell r="F13">
            <v>0</v>
          </cell>
          <cell r="G13">
            <v>1776525</v>
          </cell>
          <cell r="H13">
            <v>35128885</v>
          </cell>
          <cell r="I13">
            <v>0</v>
          </cell>
          <cell r="J13">
            <v>0</v>
          </cell>
          <cell r="K13">
            <v>0</v>
          </cell>
          <cell r="L13">
            <v>46436352</v>
          </cell>
          <cell r="M13">
            <v>0</v>
          </cell>
          <cell r="N13">
            <v>12781160</v>
          </cell>
        </row>
        <row r="14">
          <cell r="A14" t="str">
            <v>Delaware</v>
          </cell>
          <cell r="B14">
            <v>562495</v>
          </cell>
          <cell r="C14">
            <v>1035603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2399461</v>
          </cell>
          <cell r="I14">
            <v>0</v>
          </cell>
          <cell r="J14">
            <v>0</v>
          </cell>
          <cell r="K14">
            <v>0</v>
          </cell>
          <cell r="L14">
            <v>3997559</v>
          </cell>
          <cell r="M14">
            <v>1043140</v>
          </cell>
          <cell r="N14">
            <v>8465150</v>
          </cell>
        </row>
        <row r="15">
          <cell r="A15" t="str">
            <v>District of Columbia</v>
          </cell>
          <cell r="B15">
            <v>563908</v>
          </cell>
          <cell r="C15">
            <v>1649515</v>
          </cell>
          <cell r="D15">
            <v>0</v>
          </cell>
          <cell r="E15">
            <v>0</v>
          </cell>
          <cell r="F15">
            <v>0</v>
          </cell>
          <cell r="G15">
            <v>338345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2551768</v>
          </cell>
          <cell r="M15">
            <v>5717586</v>
          </cell>
          <cell r="N15">
            <v>0</v>
          </cell>
        </row>
        <row r="16">
          <cell r="A16" t="str">
            <v>Florida</v>
          </cell>
          <cell r="B16">
            <v>5279016</v>
          </cell>
          <cell r="C16">
            <v>32010966</v>
          </cell>
          <cell r="D16">
            <v>0</v>
          </cell>
          <cell r="E16">
            <v>0</v>
          </cell>
          <cell r="F16">
            <v>0</v>
          </cell>
          <cell r="G16">
            <v>4456679</v>
          </cell>
          <cell r="H16">
            <v>208082950</v>
          </cell>
          <cell r="I16">
            <v>1095114</v>
          </cell>
          <cell r="J16">
            <v>5097041</v>
          </cell>
          <cell r="K16">
            <v>3959386</v>
          </cell>
          <cell r="L16">
            <v>259981152</v>
          </cell>
          <cell r="M16">
            <v>155246226</v>
          </cell>
          <cell r="N16">
            <v>0</v>
          </cell>
        </row>
        <row r="17">
          <cell r="A17" t="str">
            <v>Georgia</v>
          </cell>
          <cell r="B17">
            <v>5466899</v>
          </cell>
          <cell r="C17">
            <v>13933253</v>
          </cell>
          <cell r="D17">
            <v>0</v>
          </cell>
          <cell r="E17">
            <v>0</v>
          </cell>
          <cell r="F17">
            <v>0</v>
          </cell>
          <cell r="G17">
            <v>2707189</v>
          </cell>
          <cell r="H17">
            <v>468531</v>
          </cell>
          <cell r="I17">
            <v>274605</v>
          </cell>
          <cell r="J17">
            <v>480965</v>
          </cell>
          <cell r="K17">
            <v>0</v>
          </cell>
          <cell r="L17">
            <v>23331442</v>
          </cell>
          <cell r="M17">
            <v>15045570</v>
          </cell>
          <cell r="N17">
            <v>171700693</v>
          </cell>
        </row>
        <row r="18">
          <cell r="A18" t="str">
            <v>Guam</v>
          </cell>
          <cell r="B18">
            <v>140376</v>
          </cell>
          <cell r="C18">
            <v>20521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1480694</v>
          </cell>
          <cell r="I18">
            <v>0</v>
          </cell>
          <cell r="J18">
            <v>282481</v>
          </cell>
          <cell r="K18">
            <v>0</v>
          </cell>
          <cell r="L18">
            <v>1924072</v>
          </cell>
          <cell r="M18">
            <v>3280</v>
          </cell>
          <cell r="N18">
            <v>7921824</v>
          </cell>
        </row>
        <row r="19">
          <cell r="A19" t="str">
            <v>Hawaii</v>
          </cell>
          <cell r="B19">
            <v>0</v>
          </cell>
          <cell r="C19">
            <v>1596855</v>
          </cell>
          <cell r="D19">
            <v>0</v>
          </cell>
          <cell r="E19">
            <v>0</v>
          </cell>
          <cell r="F19">
            <v>0</v>
          </cell>
          <cell r="G19">
            <v>230846</v>
          </cell>
          <cell r="H19">
            <v>7727843</v>
          </cell>
          <cell r="I19">
            <v>0</v>
          </cell>
          <cell r="J19">
            <v>2686567</v>
          </cell>
          <cell r="K19">
            <v>0</v>
          </cell>
          <cell r="L19">
            <v>12242111</v>
          </cell>
          <cell r="M19">
            <v>592662</v>
          </cell>
          <cell r="N19">
            <v>4998594</v>
          </cell>
        </row>
        <row r="20">
          <cell r="A20" t="str">
            <v>Idaho</v>
          </cell>
          <cell r="B20">
            <v>1248629</v>
          </cell>
          <cell r="C20">
            <v>15463</v>
          </cell>
          <cell r="D20">
            <v>0</v>
          </cell>
          <cell r="E20">
            <v>0</v>
          </cell>
          <cell r="F20">
            <v>0</v>
          </cell>
          <cell r="G20">
            <v>1626224</v>
          </cell>
          <cell r="H20">
            <v>19117266</v>
          </cell>
          <cell r="I20">
            <v>548690</v>
          </cell>
          <cell r="J20">
            <v>0</v>
          </cell>
          <cell r="K20">
            <v>882048</v>
          </cell>
          <cell r="L20">
            <v>23438320</v>
          </cell>
          <cell r="M20">
            <v>0</v>
          </cell>
          <cell r="N20">
            <v>14159410</v>
          </cell>
        </row>
        <row r="21">
          <cell r="A21" t="str">
            <v>Illinois</v>
          </cell>
          <cell r="B21">
            <v>0</v>
          </cell>
          <cell r="C21">
            <v>38168674</v>
          </cell>
          <cell r="D21">
            <v>0</v>
          </cell>
          <cell r="E21">
            <v>0</v>
          </cell>
          <cell r="F21">
            <v>0</v>
          </cell>
          <cell r="G21">
            <v>10796686</v>
          </cell>
          <cell r="H21">
            <v>50222986</v>
          </cell>
          <cell r="I21">
            <v>0</v>
          </cell>
          <cell r="J21">
            <v>0</v>
          </cell>
          <cell r="K21">
            <v>0</v>
          </cell>
          <cell r="L21">
            <v>99188346</v>
          </cell>
          <cell r="M21">
            <v>73757396</v>
          </cell>
          <cell r="N21">
            <v>0</v>
          </cell>
        </row>
        <row r="22">
          <cell r="A22" t="str">
            <v>Indiana</v>
          </cell>
          <cell r="B22">
            <v>2539626</v>
          </cell>
          <cell r="C22">
            <v>17607798</v>
          </cell>
          <cell r="D22">
            <v>0</v>
          </cell>
          <cell r="E22">
            <v>0</v>
          </cell>
          <cell r="F22">
            <v>0</v>
          </cell>
          <cell r="G22">
            <v>3022011</v>
          </cell>
          <cell r="H22">
            <v>62596793</v>
          </cell>
          <cell r="I22">
            <v>3518315</v>
          </cell>
          <cell r="J22">
            <v>3230223</v>
          </cell>
          <cell r="K22">
            <v>0</v>
          </cell>
          <cell r="L22">
            <v>92514766</v>
          </cell>
          <cell r="M22">
            <v>21534114</v>
          </cell>
          <cell r="N22">
            <v>61689289</v>
          </cell>
        </row>
        <row r="23">
          <cell r="A23" t="str">
            <v>Iowa</v>
          </cell>
          <cell r="B23">
            <v>1476112</v>
          </cell>
          <cell r="C23">
            <v>6368175</v>
          </cell>
          <cell r="D23">
            <v>0</v>
          </cell>
          <cell r="E23">
            <v>0</v>
          </cell>
          <cell r="F23">
            <v>0</v>
          </cell>
          <cell r="G23">
            <v>1685787</v>
          </cell>
          <cell r="H23">
            <v>39560332</v>
          </cell>
          <cell r="I23">
            <v>652785</v>
          </cell>
          <cell r="J23">
            <v>0</v>
          </cell>
          <cell r="K23">
            <v>0</v>
          </cell>
          <cell r="L23">
            <v>49743191</v>
          </cell>
          <cell r="M23">
            <v>11777527</v>
          </cell>
          <cell r="N23">
            <v>8425506</v>
          </cell>
        </row>
        <row r="24">
          <cell r="A24" t="str">
            <v>Kansas</v>
          </cell>
          <cell r="B24">
            <v>404932</v>
          </cell>
          <cell r="C24">
            <v>3966405</v>
          </cell>
          <cell r="D24">
            <v>0</v>
          </cell>
          <cell r="E24">
            <v>0</v>
          </cell>
          <cell r="F24">
            <v>0</v>
          </cell>
          <cell r="G24">
            <v>1207390</v>
          </cell>
          <cell r="H24">
            <v>5252572</v>
          </cell>
          <cell r="I24">
            <v>143348</v>
          </cell>
          <cell r="J24">
            <v>0</v>
          </cell>
          <cell r="K24">
            <v>0</v>
          </cell>
          <cell r="L24">
            <v>10974647</v>
          </cell>
          <cell r="M24">
            <v>987578</v>
          </cell>
          <cell r="N24">
            <v>33021315</v>
          </cell>
        </row>
        <row r="25">
          <cell r="A25" t="str">
            <v>Kentucky</v>
          </cell>
          <cell r="B25">
            <v>6685891</v>
          </cell>
          <cell r="C25">
            <v>2312139</v>
          </cell>
          <cell r="D25">
            <v>0</v>
          </cell>
          <cell r="E25">
            <v>412885</v>
          </cell>
          <cell r="F25">
            <v>189269</v>
          </cell>
          <cell r="G25">
            <v>1144583</v>
          </cell>
          <cell r="H25">
            <v>132151</v>
          </cell>
          <cell r="I25">
            <v>84829</v>
          </cell>
          <cell r="J25">
            <v>0</v>
          </cell>
          <cell r="K25">
            <v>0</v>
          </cell>
          <cell r="L25">
            <v>10961747</v>
          </cell>
          <cell r="M25">
            <v>0</v>
          </cell>
          <cell r="N25">
            <v>83255553</v>
          </cell>
        </row>
        <row r="26">
          <cell r="A26" t="str">
            <v>Louisiana</v>
          </cell>
          <cell r="B26">
            <v>556216</v>
          </cell>
          <cell r="C26">
            <v>4747633</v>
          </cell>
          <cell r="D26">
            <v>5752859</v>
          </cell>
          <cell r="E26">
            <v>0</v>
          </cell>
          <cell r="F26">
            <v>0</v>
          </cell>
          <cell r="G26">
            <v>1350549</v>
          </cell>
          <cell r="H26">
            <v>59880139</v>
          </cell>
          <cell r="I26">
            <v>280727</v>
          </cell>
          <cell r="J26">
            <v>112860</v>
          </cell>
          <cell r="K26">
            <v>49856</v>
          </cell>
          <cell r="L26">
            <v>72730839</v>
          </cell>
          <cell r="M26">
            <v>0</v>
          </cell>
          <cell r="N26">
            <v>17688348</v>
          </cell>
        </row>
        <row r="27">
          <cell r="A27" t="str">
            <v>Maine</v>
          </cell>
          <cell r="B27">
            <v>507602</v>
          </cell>
          <cell r="C27">
            <v>1202123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8739150</v>
          </cell>
          <cell r="I27">
            <v>0</v>
          </cell>
          <cell r="J27">
            <v>0</v>
          </cell>
          <cell r="K27">
            <v>0</v>
          </cell>
          <cell r="L27">
            <v>10448875</v>
          </cell>
          <cell r="M27">
            <v>2445352</v>
          </cell>
          <cell r="N27">
            <v>8135972</v>
          </cell>
        </row>
        <row r="28">
          <cell r="A28" t="str">
            <v>Maryland</v>
          </cell>
          <cell r="B28">
            <v>361642</v>
          </cell>
          <cell r="C28">
            <v>1077820</v>
          </cell>
          <cell r="D28">
            <v>0</v>
          </cell>
          <cell r="E28">
            <v>0</v>
          </cell>
          <cell r="F28">
            <v>0</v>
          </cell>
          <cell r="G28">
            <v>602011</v>
          </cell>
          <cell r="H28">
            <v>0</v>
          </cell>
          <cell r="I28">
            <v>100671</v>
          </cell>
          <cell r="J28">
            <v>28277</v>
          </cell>
          <cell r="K28">
            <v>1463369</v>
          </cell>
          <cell r="L28">
            <v>3633790</v>
          </cell>
          <cell r="M28">
            <v>9943830</v>
          </cell>
          <cell r="N28">
            <v>51059895</v>
          </cell>
        </row>
        <row r="29">
          <cell r="A29" t="str">
            <v>Massachusetts</v>
          </cell>
          <cell r="B29">
            <v>38393</v>
          </cell>
          <cell r="C29">
            <v>28095472</v>
          </cell>
          <cell r="D29">
            <v>0</v>
          </cell>
          <cell r="E29">
            <v>0</v>
          </cell>
          <cell r="F29">
            <v>0</v>
          </cell>
          <cell r="G29">
            <v>8669193</v>
          </cell>
          <cell r="H29">
            <v>93388815</v>
          </cell>
          <cell r="I29">
            <v>0</v>
          </cell>
          <cell r="J29">
            <v>0</v>
          </cell>
          <cell r="K29">
            <v>1500877</v>
          </cell>
          <cell r="L29">
            <v>131692750</v>
          </cell>
          <cell r="M29">
            <v>23877780</v>
          </cell>
          <cell r="N29">
            <v>0</v>
          </cell>
        </row>
        <row r="30">
          <cell r="A30" t="str">
            <v>Michigan</v>
          </cell>
          <cell r="B30">
            <v>5343429</v>
          </cell>
          <cell r="C30">
            <v>29327275</v>
          </cell>
          <cell r="D30">
            <v>0</v>
          </cell>
          <cell r="E30">
            <v>0</v>
          </cell>
          <cell r="F30">
            <v>0</v>
          </cell>
          <cell r="G30">
            <v>5726009</v>
          </cell>
          <cell r="H30">
            <v>51159931</v>
          </cell>
          <cell r="I30">
            <v>3975669</v>
          </cell>
          <cell r="J30">
            <v>16382807</v>
          </cell>
          <cell r="K30">
            <v>40695</v>
          </cell>
          <cell r="L30">
            <v>111955815</v>
          </cell>
          <cell r="M30">
            <v>43321497</v>
          </cell>
          <cell r="N30">
            <v>0</v>
          </cell>
        </row>
        <row r="31">
          <cell r="A31" t="str">
            <v>Minnesota</v>
          </cell>
          <cell r="B31">
            <v>569819</v>
          </cell>
          <cell r="C31">
            <v>1248931</v>
          </cell>
          <cell r="D31">
            <v>0</v>
          </cell>
          <cell r="E31">
            <v>0</v>
          </cell>
          <cell r="F31">
            <v>0</v>
          </cell>
          <cell r="G31">
            <v>1311417</v>
          </cell>
          <cell r="H31">
            <v>13572132</v>
          </cell>
          <cell r="I31">
            <v>565676</v>
          </cell>
          <cell r="J31">
            <v>0</v>
          </cell>
          <cell r="K31">
            <v>9923896</v>
          </cell>
          <cell r="L31">
            <v>27191871</v>
          </cell>
          <cell r="M31">
            <v>79395009</v>
          </cell>
          <cell r="N31">
            <v>0</v>
          </cell>
        </row>
        <row r="32">
          <cell r="A32" t="str">
            <v>Mississippi</v>
          </cell>
          <cell r="B32">
            <v>7381931</v>
          </cell>
          <cell r="C32">
            <v>736609</v>
          </cell>
          <cell r="D32">
            <v>0</v>
          </cell>
          <cell r="E32">
            <v>0</v>
          </cell>
          <cell r="F32">
            <v>5949752</v>
          </cell>
          <cell r="G32">
            <v>0</v>
          </cell>
          <cell r="H32">
            <v>20598479</v>
          </cell>
          <cell r="I32">
            <v>0</v>
          </cell>
          <cell r="J32">
            <v>0</v>
          </cell>
          <cell r="K32">
            <v>0</v>
          </cell>
          <cell r="L32">
            <v>34666771</v>
          </cell>
          <cell r="M32">
            <v>34318653</v>
          </cell>
          <cell r="N32">
            <v>0</v>
          </cell>
        </row>
        <row r="33">
          <cell r="A33" t="str">
            <v>Missouri</v>
          </cell>
          <cell r="B33">
            <v>1744389</v>
          </cell>
          <cell r="C33">
            <v>10565029</v>
          </cell>
          <cell r="D33">
            <v>0</v>
          </cell>
          <cell r="E33">
            <v>0</v>
          </cell>
          <cell r="F33">
            <v>0</v>
          </cell>
          <cell r="G33">
            <v>11112600</v>
          </cell>
          <cell r="H33">
            <v>34555451</v>
          </cell>
          <cell r="I33">
            <v>0</v>
          </cell>
          <cell r="J33">
            <v>0</v>
          </cell>
          <cell r="K33">
            <v>0</v>
          </cell>
          <cell r="L33">
            <v>57977469</v>
          </cell>
          <cell r="M33">
            <v>36608673</v>
          </cell>
          <cell r="N33">
            <v>0</v>
          </cell>
        </row>
        <row r="34">
          <cell r="A34" t="str">
            <v>Montana</v>
          </cell>
          <cell r="B34">
            <v>0</v>
          </cell>
          <cell r="C34">
            <v>1538103</v>
          </cell>
          <cell r="D34">
            <v>0</v>
          </cell>
          <cell r="E34">
            <v>0</v>
          </cell>
          <cell r="F34">
            <v>0</v>
          </cell>
          <cell r="G34">
            <v>116812</v>
          </cell>
          <cell r="H34">
            <v>465436</v>
          </cell>
          <cell r="I34">
            <v>1225067</v>
          </cell>
          <cell r="J34">
            <v>1483303</v>
          </cell>
          <cell r="K34">
            <v>985845</v>
          </cell>
          <cell r="L34">
            <v>5814566</v>
          </cell>
          <cell r="M34">
            <v>16124325</v>
          </cell>
          <cell r="N34">
            <v>0</v>
          </cell>
        </row>
        <row r="35">
          <cell r="A35" t="str">
            <v>Nebraska</v>
          </cell>
          <cell r="B35">
            <v>1035428</v>
          </cell>
          <cell r="C35">
            <v>1705821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12790000</v>
          </cell>
          <cell r="I35">
            <v>448390</v>
          </cell>
          <cell r="J35">
            <v>2919458</v>
          </cell>
          <cell r="K35">
            <v>85199</v>
          </cell>
          <cell r="L35">
            <v>18984296</v>
          </cell>
          <cell r="M35">
            <v>6309642</v>
          </cell>
          <cell r="N35">
            <v>18375328</v>
          </cell>
        </row>
        <row r="36">
          <cell r="A36" t="str">
            <v>Nevada</v>
          </cell>
          <cell r="B36">
            <v>909660</v>
          </cell>
          <cell r="C36">
            <v>2391777</v>
          </cell>
          <cell r="D36">
            <v>0</v>
          </cell>
          <cell r="E36">
            <v>0</v>
          </cell>
          <cell r="F36">
            <v>0</v>
          </cell>
          <cell r="G36">
            <v>488915</v>
          </cell>
          <cell r="H36">
            <v>9584271</v>
          </cell>
          <cell r="I36">
            <v>556070</v>
          </cell>
          <cell r="J36">
            <v>921928</v>
          </cell>
          <cell r="K36">
            <v>381266</v>
          </cell>
          <cell r="L36">
            <v>15233887</v>
          </cell>
          <cell r="M36">
            <v>31814434</v>
          </cell>
          <cell r="N36">
            <v>0</v>
          </cell>
        </row>
        <row r="37">
          <cell r="A37" t="str">
            <v>New Hampshire</v>
          </cell>
          <cell r="B37">
            <v>0</v>
          </cell>
          <cell r="C37">
            <v>181972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5657873</v>
          </cell>
          <cell r="I37">
            <v>0</v>
          </cell>
          <cell r="J37">
            <v>0</v>
          </cell>
          <cell r="K37">
            <v>0</v>
          </cell>
          <cell r="L37">
            <v>5839845</v>
          </cell>
          <cell r="M37">
            <v>0</v>
          </cell>
          <cell r="N37">
            <v>4504665</v>
          </cell>
        </row>
        <row r="38">
          <cell r="A38" t="str">
            <v>New Jersey</v>
          </cell>
          <cell r="B38">
            <v>639455</v>
          </cell>
          <cell r="C38">
            <v>6584800</v>
          </cell>
          <cell r="D38">
            <v>0</v>
          </cell>
          <cell r="E38">
            <v>0</v>
          </cell>
          <cell r="F38">
            <v>0</v>
          </cell>
          <cell r="G38">
            <v>6579477</v>
          </cell>
          <cell r="H38">
            <v>97931268</v>
          </cell>
          <cell r="I38">
            <v>322046</v>
          </cell>
          <cell r="J38">
            <v>12000000</v>
          </cell>
          <cell r="K38">
            <v>0</v>
          </cell>
          <cell r="L38">
            <v>124057046</v>
          </cell>
          <cell r="M38">
            <v>37650320</v>
          </cell>
          <cell r="N38">
            <v>0</v>
          </cell>
        </row>
        <row r="39">
          <cell r="A39" t="str">
            <v>New Mexico</v>
          </cell>
          <cell r="B39">
            <v>0</v>
          </cell>
          <cell r="C39">
            <v>2022723</v>
          </cell>
          <cell r="D39">
            <v>0</v>
          </cell>
          <cell r="E39">
            <v>0</v>
          </cell>
          <cell r="F39">
            <v>0</v>
          </cell>
          <cell r="G39">
            <v>1624362</v>
          </cell>
          <cell r="H39">
            <v>52747817</v>
          </cell>
          <cell r="I39">
            <v>0</v>
          </cell>
          <cell r="J39">
            <v>0</v>
          </cell>
          <cell r="K39">
            <v>0</v>
          </cell>
          <cell r="L39">
            <v>56394902</v>
          </cell>
          <cell r="M39">
            <v>0</v>
          </cell>
          <cell r="N39">
            <v>17548887</v>
          </cell>
        </row>
        <row r="40">
          <cell r="A40" t="str">
            <v>New York</v>
          </cell>
          <cell r="B40">
            <v>59817</v>
          </cell>
          <cell r="C40">
            <v>192734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288791</v>
          </cell>
          <cell r="I40">
            <v>0</v>
          </cell>
          <cell r="J40">
            <v>0</v>
          </cell>
          <cell r="K40">
            <v>0</v>
          </cell>
          <cell r="L40">
            <v>541342</v>
          </cell>
          <cell r="M40">
            <v>466214736</v>
          </cell>
          <cell r="N40">
            <v>233295575</v>
          </cell>
        </row>
        <row r="41">
          <cell r="A41" t="str">
            <v>North Carolina</v>
          </cell>
          <cell r="B41">
            <v>8428800</v>
          </cell>
          <cell r="C41">
            <v>5907150</v>
          </cell>
          <cell r="D41">
            <v>888345</v>
          </cell>
          <cell r="E41">
            <v>8640005</v>
          </cell>
          <cell r="F41">
            <v>0</v>
          </cell>
          <cell r="G41">
            <v>0</v>
          </cell>
          <cell r="H41">
            <v>108037916</v>
          </cell>
          <cell r="I41">
            <v>0</v>
          </cell>
          <cell r="J41">
            <v>0</v>
          </cell>
          <cell r="K41">
            <v>0</v>
          </cell>
          <cell r="L41">
            <v>131902216</v>
          </cell>
          <cell r="M41">
            <v>23076487</v>
          </cell>
          <cell r="N41">
            <v>87206240</v>
          </cell>
        </row>
        <row r="42">
          <cell r="A42" t="str">
            <v>North Dakota</v>
          </cell>
          <cell r="B42">
            <v>237346</v>
          </cell>
          <cell r="C42">
            <v>1376270</v>
          </cell>
          <cell r="D42">
            <v>0</v>
          </cell>
          <cell r="E42">
            <v>0</v>
          </cell>
          <cell r="F42">
            <v>0</v>
          </cell>
          <cell r="G42">
            <v>233196</v>
          </cell>
          <cell r="H42">
            <v>418392</v>
          </cell>
          <cell r="I42">
            <v>0</v>
          </cell>
          <cell r="J42">
            <v>0</v>
          </cell>
          <cell r="K42">
            <v>0</v>
          </cell>
          <cell r="L42">
            <v>2265204</v>
          </cell>
          <cell r="M42">
            <v>5874239</v>
          </cell>
          <cell r="N42">
            <v>0</v>
          </cell>
        </row>
        <row r="43">
          <cell r="A43" t="str">
            <v>Northern Mariana</v>
          </cell>
          <cell r="B43">
            <v>0</v>
          </cell>
          <cell r="C43">
            <v>55553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55553</v>
          </cell>
          <cell r="M43">
            <v>890359</v>
          </cell>
          <cell r="N43">
            <v>3330002</v>
          </cell>
        </row>
        <row r="44">
          <cell r="A44" t="str">
            <v>Ohio /4</v>
          </cell>
          <cell r="B44">
            <v>8600181</v>
          </cell>
          <cell r="C44">
            <v>18859619</v>
          </cell>
          <cell r="D44">
            <v>0</v>
          </cell>
          <cell r="E44">
            <v>0</v>
          </cell>
          <cell r="F44">
            <v>0</v>
          </cell>
          <cell r="G44">
            <v>9648517</v>
          </cell>
          <cell r="H44">
            <v>16730443</v>
          </cell>
          <cell r="I44">
            <v>0</v>
          </cell>
          <cell r="J44">
            <v>0</v>
          </cell>
          <cell r="K44">
            <v>23644039</v>
          </cell>
          <cell r="L44">
            <v>77482799</v>
          </cell>
          <cell r="M44">
            <v>66959107</v>
          </cell>
          <cell r="N44">
            <v>0</v>
          </cell>
        </row>
        <row r="45">
          <cell r="A45" t="str">
            <v>Oklahoma</v>
          </cell>
          <cell r="B45">
            <v>6900151</v>
          </cell>
          <cell r="C45">
            <v>11040249</v>
          </cell>
          <cell r="D45">
            <v>0</v>
          </cell>
          <cell r="E45">
            <v>0</v>
          </cell>
          <cell r="F45">
            <v>0</v>
          </cell>
          <cell r="G45">
            <v>4140093</v>
          </cell>
          <cell r="H45">
            <v>49877883</v>
          </cell>
          <cell r="I45">
            <v>1568389</v>
          </cell>
          <cell r="J45">
            <v>0</v>
          </cell>
          <cell r="K45">
            <v>1970307</v>
          </cell>
          <cell r="L45">
            <v>75497072</v>
          </cell>
          <cell r="M45">
            <v>19393420</v>
          </cell>
          <cell r="N45">
            <v>0</v>
          </cell>
        </row>
        <row r="46">
          <cell r="A46" t="str">
            <v>Oregon</v>
          </cell>
          <cell r="B46">
            <v>904984</v>
          </cell>
          <cell r="C46">
            <v>3415128</v>
          </cell>
          <cell r="D46">
            <v>0</v>
          </cell>
          <cell r="E46">
            <v>0</v>
          </cell>
          <cell r="F46">
            <v>0</v>
          </cell>
          <cell r="G46">
            <v>379347</v>
          </cell>
          <cell r="H46">
            <v>15779483</v>
          </cell>
          <cell r="I46">
            <v>50395</v>
          </cell>
          <cell r="J46">
            <v>0</v>
          </cell>
          <cell r="K46">
            <v>0</v>
          </cell>
          <cell r="L46">
            <v>20529337</v>
          </cell>
          <cell r="M46">
            <v>3142713</v>
          </cell>
          <cell r="N46">
            <v>34705637</v>
          </cell>
        </row>
        <row r="47">
          <cell r="A47" t="str">
            <v>Pennsylvania</v>
          </cell>
          <cell r="B47">
            <v>12629209</v>
          </cell>
          <cell r="C47">
            <v>41099758</v>
          </cell>
          <cell r="D47">
            <v>0</v>
          </cell>
          <cell r="E47">
            <v>0</v>
          </cell>
          <cell r="F47">
            <v>0</v>
          </cell>
          <cell r="G47">
            <v>9823810</v>
          </cell>
          <cell r="H47">
            <v>128684405</v>
          </cell>
          <cell r="I47">
            <v>6137037</v>
          </cell>
          <cell r="J47">
            <v>0</v>
          </cell>
          <cell r="K47">
            <v>0</v>
          </cell>
          <cell r="L47">
            <v>198374219</v>
          </cell>
          <cell r="M47">
            <v>33019260</v>
          </cell>
          <cell r="N47">
            <v>103091583</v>
          </cell>
        </row>
        <row r="48">
          <cell r="A48" t="str">
            <v>Puerto Rico /4</v>
          </cell>
          <cell r="B48">
            <v>798070</v>
          </cell>
          <cell r="C48">
            <v>2094546</v>
          </cell>
          <cell r="D48">
            <v>0</v>
          </cell>
          <cell r="E48">
            <v>0</v>
          </cell>
          <cell r="F48">
            <v>0</v>
          </cell>
          <cell r="G48">
            <v>3382775</v>
          </cell>
          <cell r="H48">
            <v>9434661</v>
          </cell>
          <cell r="I48">
            <v>251363</v>
          </cell>
          <cell r="J48">
            <v>0</v>
          </cell>
          <cell r="K48">
            <v>0</v>
          </cell>
          <cell r="L48">
            <v>15961415</v>
          </cell>
          <cell r="M48">
            <v>7378079</v>
          </cell>
          <cell r="N48">
            <v>26814100</v>
          </cell>
        </row>
        <row r="49">
          <cell r="A49" t="str">
            <v>Rhode Island</v>
          </cell>
          <cell r="B49">
            <v>845968</v>
          </cell>
          <cell r="C49">
            <v>2308489</v>
          </cell>
          <cell r="D49">
            <v>0</v>
          </cell>
          <cell r="E49">
            <v>0</v>
          </cell>
          <cell r="F49">
            <v>0</v>
          </cell>
          <cell r="G49">
            <v>1227512</v>
          </cell>
          <cell r="H49">
            <v>17727568</v>
          </cell>
          <cell r="I49">
            <v>141669</v>
          </cell>
          <cell r="J49">
            <v>0</v>
          </cell>
          <cell r="K49">
            <v>0</v>
          </cell>
          <cell r="L49">
            <v>22251206</v>
          </cell>
          <cell r="M49">
            <v>0</v>
          </cell>
          <cell r="N49">
            <v>6430351</v>
          </cell>
        </row>
        <row r="50">
          <cell r="A50" t="str">
            <v>South Carolina</v>
          </cell>
          <cell r="B50">
            <v>2725344</v>
          </cell>
          <cell r="C50">
            <v>116842</v>
          </cell>
          <cell r="D50">
            <v>0</v>
          </cell>
          <cell r="E50">
            <v>0</v>
          </cell>
          <cell r="F50">
            <v>0</v>
          </cell>
          <cell r="G50">
            <v>119336</v>
          </cell>
          <cell r="H50">
            <v>0</v>
          </cell>
          <cell r="I50">
            <v>0</v>
          </cell>
          <cell r="J50">
            <v>335271</v>
          </cell>
          <cell r="K50">
            <v>0</v>
          </cell>
          <cell r="L50">
            <v>3296793</v>
          </cell>
          <cell r="M50">
            <v>87192455</v>
          </cell>
          <cell r="N50">
            <v>0</v>
          </cell>
        </row>
        <row r="51">
          <cell r="A51" t="str">
            <v>South Dakota</v>
          </cell>
          <cell r="B51">
            <v>0</v>
          </cell>
          <cell r="C51">
            <v>1467619</v>
          </cell>
          <cell r="D51">
            <v>0</v>
          </cell>
          <cell r="E51">
            <v>0</v>
          </cell>
          <cell r="F51">
            <v>0</v>
          </cell>
          <cell r="G51">
            <v>286924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1754543</v>
          </cell>
          <cell r="M51">
            <v>10980009</v>
          </cell>
          <cell r="N51">
            <v>40458</v>
          </cell>
        </row>
        <row r="52">
          <cell r="A52" t="str">
            <v>Tennessee</v>
          </cell>
          <cell r="B52">
            <v>1039582</v>
          </cell>
          <cell r="C52">
            <v>10068210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31668514</v>
          </cell>
          <cell r="I52">
            <v>0</v>
          </cell>
          <cell r="J52">
            <v>597759</v>
          </cell>
          <cell r="K52">
            <v>3857298</v>
          </cell>
          <cell r="L52">
            <v>47231363</v>
          </cell>
          <cell r="M52">
            <v>0</v>
          </cell>
          <cell r="N52">
            <v>71271066</v>
          </cell>
        </row>
        <row r="53">
          <cell r="A53" t="str">
            <v>Texas</v>
          </cell>
          <cell r="B53">
            <v>9513746</v>
          </cell>
          <cell r="C53">
            <v>20665604</v>
          </cell>
          <cell r="D53">
            <v>0</v>
          </cell>
          <cell r="E53">
            <v>0</v>
          </cell>
          <cell r="F53">
            <v>0</v>
          </cell>
          <cell r="G53">
            <v>13614943</v>
          </cell>
          <cell r="H53">
            <v>130165664</v>
          </cell>
          <cell r="I53">
            <v>3309031</v>
          </cell>
          <cell r="J53">
            <v>14138921</v>
          </cell>
          <cell r="K53">
            <v>47401003</v>
          </cell>
          <cell r="L53">
            <v>238808912</v>
          </cell>
          <cell r="M53">
            <v>220462080</v>
          </cell>
          <cell r="N53">
            <v>62002730</v>
          </cell>
        </row>
        <row r="54">
          <cell r="A54" t="str">
            <v>Utah</v>
          </cell>
          <cell r="B54">
            <v>0</v>
          </cell>
          <cell r="C54">
            <v>3364311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36361</v>
          </cell>
          <cell r="I54">
            <v>0</v>
          </cell>
          <cell r="J54">
            <v>0</v>
          </cell>
          <cell r="K54">
            <v>0</v>
          </cell>
          <cell r="L54">
            <v>3400672</v>
          </cell>
          <cell r="M54">
            <v>46825800</v>
          </cell>
          <cell r="N54">
            <v>23443606</v>
          </cell>
        </row>
        <row r="55">
          <cell r="A55" t="str">
            <v>Vermont</v>
          </cell>
          <cell r="B55">
            <v>143869</v>
          </cell>
          <cell r="C55">
            <v>1372448</v>
          </cell>
          <cell r="D55">
            <v>0</v>
          </cell>
          <cell r="E55">
            <v>0</v>
          </cell>
          <cell r="F55">
            <v>0</v>
          </cell>
          <cell r="G55">
            <v>750017</v>
          </cell>
          <cell r="H55">
            <v>9971009</v>
          </cell>
          <cell r="I55">
            <v>81460</v>
          </cell>
          <cell r="J55">
            <v>106366</v>
          </cell>
          <cell r="K55">
            <v>919816</v>
          </cell>
          <cell r="L55">
            <v>13344985</v>
          </cell>
          <cell r="M55">
            <v>0</v>
          </cell>
          <cell r="N55">
            <v>2433505</v>
          </cell>
        </row>
        <row r="56">
          <cell r="A56" t="str">
            <v>Virgin Islands /5</v>
          </cell>
        </row>
        <row r="57">
          <cell r="A57" t="str">
            <v>Virginia</v>
          </cell>
          <cell r="B57">
            <v>1042744</v>
          </cell>
          <cell r="C57">
            <v>13552458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12515736</v>
          </cell>
          <cell r="I57">
            <v>2977317</v>
          </cell>
          <cell r="J57">
            <v>9092667</v>
          </cell>
          <cell r="K57">
            <v>0</v>
          </cell>
          <cell r="L57">
            <v>39180922</v>
          </cell>
          <cell r="M57">
            <v>9943146</v>
          </cell>
          <cell r="N57">
            <v>63913802</v>
          </cell>
        </row>
        <row r="58">
          <cell r="A58" t="str">
            <v>Washington</v>
          </cell>
          <cell r="B58">
            <v>749530</v>
          </cell>
          <cell r="C58">
            <v>1795173</v>
          </cell>
          <cell r="D58">
            <v>0</v>
          </cell>
          <cell r="E58">
            <v>0</v>
          </cell>
          <cell r="F58">
            <v>0</v>
          </cell>
          <cell r="G58">
            <v>373624</v>
          </cell>
          <cell r="H58">
            <v>101192382</v>
          </cell>
          <cell r="I58">
            <v>2141978</v>
          </cell>
          <cell r="J58">
            <v>6716</v>
          </cell>
          <cell r="K58">
            <v>98182</v>
          </cell>
          <cell r="L58">
            <v>106357585</v>
          </cell>
          <cell r="M58">
            <v>81731062</v>
          </cell>
          <cell r="N58">
            <v>0</v>
          </cell>
        </row>
        <row r="59">
          <cell r="A59" t="str">
            <v>West Virginia</v>
          </cell>
          <cell r="B59">
            <v>0</v>
          </cell>
          <cell r="C59">
            <v>11110520</v>
          </cell>
          <cell r="D59">
            <v>0</v>
          </cell>
          <cell r="E59">
            <v>0</v>
          </cell>
          <cell r="F59">
            <v>0</v>
          </cell>
          <cell r="G59">
            <v>1633739</v>
          </cell>
          <cell r="H59">
            <v>14644813</v>
          </cell>
          <cell r="I59">
            <v>0</v>
          </cell>
          <cell r="J59">
            <v>0</v>
          </cell>
          <cell r="K59">
            <v>0</v>
          </cell>
          <cell r="L59">
            <v>27389072</v>
          </cell>
          <cell r="M59">
            <v>0</v>
          </cell>
          <cell r="N59">
            <v>4591162</v>
          </cell>
        </row>
        <row r="60">
          <cell r="A60" t="str">
            <v>Wisconsin</v>
          </cell>
          <cell r="B60">
            <v>6222167</v>
          </cell>
          <cell r="C60">
            <v>4811560</v>
          </cell>
          <cell r="D60">
            <v>0</v>
          </cell>
          <cell r="E60">
            <v>0</v>
          </cell>
          <cell r="F60">
            <v>0</v>
          </cell>
          <cell r="G60">
            <v>60078</v>
          </cell>
          <cell r="H60">
            <v>21083257</v>
          </cell>
          <cell r="I60">
            <v>1366774</v>
          </cell>
          <cell r="J60">
            <v>1233382</v>
          </cell>
          <cell r="K60">
            <v>7384928</v>
          </cell>
          <cell r="L60">
            <v>42162146</v>
          </cell>
          <cell r="M60">
            <v>0</v>
          </cell>
          <cell r="N60">
            <v>95047896</v>
          </cell>
        </row>
        <row r="61">
          <cell r="A61" t="str">
            <v>Wyoming</v>
          </cell>
          <cell r="B61">
            <v>350391</v>
          </cell>
          <cell r="C61">
            <v>852268</v>
          </cell>
          <cell r="D61">
            <v>0</v>
          </cell>
          <cell r="E61">
            <v>0</v>
          </cell>
          <cell r="F61">
            <v>0</v>
          </cell>
          <cell r="G61">
            <v>446575</v>
          </cell>
          <cell r="H61">
            <v>2766770</v>
          </cell>
          <cell r="I61">
            <v>0</v>
          </cell>
          <cell r="J61">
            <v>594262</v>
          </cell>
          <cell r="K61">
            <v>0</v>
          </cell>
          <cell r="L61">
            <v>5010266</v>
          </cell>
          <cell r="M61">
            <v>1248981</v>
          </cell>
          <cell r="N61">
            <v>0</v>
          </cell>
        </row>
      </sheetData>
      <sheetData sheetId="6"/>
      <sheetData sheetId="7">
        <row r="6">
          <cell r="A6" t="str">
            <v>State</v>
          </cell>
          <cell r="B6" t="str">
            <v>Regular</v>
          </cell>
          <cell r="C6" t="str">
            <v>Private Donated</v>
          </cell>
          <cell r="D6" t="str">
            <v>Pre-K</v>
          </cell>
          <cell r="E6" t="str">
            <v>Total</v>
          </cell>
          <cell r="G6" t="str">
            <v>MOE Requirement</v>
          </cell>
          <cell r="H6" t="str">
            <v>Excess 1/</v>
          </cell>
        </row>
        <row r="7">
          <cell r="A7" t="str">
            <v>Alabama</v>
          </cell>
          <cell r="B7">
            <v>5517134</v>
          </cell>
          <cell r="C7">
            <v>0</v>
          </cell>
          <cell r="D7">
            <v>1379283</v>
          </cell>
          <cell r="E7">
            <v>6896417</v>
          </cell>
          <cell r="G7">
            <v>6896417</v>
          </cell>
          <cell r="H7">
            <v>0</v>
          </cell>
        </row>
        <row r="8">
          <cell r="A8" t="str">
            <v>Alaska</v>
          </cell>
          <cell r="B8">
            <v>3544811</v>
          </cell>
          <cell r="C8">
            <v>0</v>
          </cell>
          <cell r="D8">
            <v>0</v>
          </cell>
          <cell r="E8">
            <v>3544811</v>
          </cell>
          <cell r="G8">
            <v>3544811</v>
          </cell>
          <cell r="H8">
            <v>0</v>
          </cell>
        </row>
        <row r="9">
          <cell r="A9" t="str">
            <v>American Samoa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G9">
            <v>0</v>
          </cell>
          <cell r="H9">
            <v>0</v>
          </cell>
        </row>
        <row r="10">
          <cell r="A10" t="str">
            <v>Arizona</v>
          </cell>
          <cell r="B10">
            <v>10032936</v>
          </cell>
          <cell r="C10">
            <v>0</v>
          </cell>
          <cell r="D10">
            <v>0</v>
          </cell>
          <cell r="E10">
            <v>10032936</v>
          </cell>
          <cell r="G10">
            <v>10032936</v>
          </cell>
          <cell r="H10">
            <v>0</v>
          </cell>
        </row>
        <row r="11">
          <cell r="A11" t="str">
            <v>Arkansas</v>
          </cell>
          <cell r="B11">
            <v>1886543</v>
          </cell>
          <cell r="C11">
            <v>0</v>
          </cell>
          <cell r="D11">
            <v>0</v>
          </cell>
          <cell r="E11">
            <v>1886543</v>
          </cell>
          <cell r="G11">
            <v>1886543</v>
          </cell>
          <cell r="H11">
            <v>0</v>
          </cell>
        </row>
        <row r="12">
          <cell r="A12" t="str">
            <v>California</v>
          </cell>
          <cell r="B12">
            <v>85593217</v>
          </cell>
          <cell r="C12">
            <v>0</v>
          </cell>
          <cell r="D12">
            <v>0</v>
          </cell>
          <cell r="E12">
            <v>85593217</v>
          </cell>
          <cell r="G12">
            <v>85593217</v>
          </cell>
          <cell r="H12">
            <v>0</v>
          </cell>
        </row>
        <row r="13">
          <cell r="A13" t="str">
            <v>Colorado</v>
          </cell>
          <cell r="B13">
            <v>8985901</v>
          </cell>
          <cell r="C13">
            <v>0</v>
          </cell>
          <cell r="D13">
            <v>0</v>
          </cell>
          <cell r="E13">
            <v>8985901</v>
          </cell>
          <cell r="G13">
            <v>8985901</v>
          </cell>
          <cell r="H13">
            <v>0</v>
          </cell>
        </row>
        <row r="14">
          <cell r="A14" t="str">
            <v>Connecticut</v>
          </cell>
          <cell r="B14">
            <v>14990687</v>
          </cell>
          <cell r="C14">
            <v>0</v>
          </cell>
          <cell r="D14">
            <v>3747671</v>
          </cell>
          <cell r="E14">
            <v>18738358</v>
          </cell>
          <cell r="G14">
            <v>18738358</v>
          </cell>
          <cell r="H14">
            <v>0</v>
          </cell>
        </row>
        <row r="15">
          <cell r="A15" t="str">
            <v>Delaware</v>
          </cell>
          <cell r="B15">
            <v>5179325</v>
          </cell>
          <cell r="C15">
            <v>0</v>
          </cell>
          <cell r="D15">
            <v>0</v>
          </cell>
          <cell r="E15">
            <v>5179325</v>
          </cell>
          <cell r="G15">
            <v>5179325</v>
          </cell>
          <cell r="H15">
            <v>0</v>
          </cell>
        </row>
        <row r="16">
          <cell r="A16" t="str">
            <v>District of Columbia</v>
          </cell>
          <cell r="B16">
            <v>4566974</v>
          </cell>
          <cell r="C16">
            <v>0</v>
          </cell>
          <cell r="D16">
            <v>0</v>
          </cell>
          <cell r="E16">
            <v>4566974</v>
          </cell>
          <cell r="G16">
            <v>4566972</v>
          </cell>
          <cell r="H16">
            <v>2</v>
          </cell>
        </row>
        <row r="17">
          <cell r="A17" t="str">
            <v>Florida</v>
          </cell>
          <cell r="B17">
            <v>26732698</v>
          </cell>
          <cell r="C17">
            <v>0</v>
          </cell>
          <cell r="D17">
            <v>6683174</v>
          </cell>
          <cell r="E17">
            <v>33415872</v>
          </cell>
          <cell r="G17">
            <v>33415872</v>
          </cell>
          <cell r="H17">
            <v>0</v>
          </cell>
        </row>
        <row r="18">
          <cell r="A18" t="str">
            <v>Georgia</v>
          </cell>
          <cell r="B18">
            <v>26437519</v>
          </cell>
          <cell r="C18">
            <v>0</v>
          </cell>
          <cell r="D18">
            <v>0</v>
          </cell>
          <cell r="E18">
            <v>26437519</v>
          </cell>
          <cell r="G18">
            <v>22182651</v>
          </cell>
          <cell r="H18">
            <v>4254868</v>
          </cell>
        </row>
        <row r="19">
          <cell r="A19" t="str">
            <v>Guam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</row>
        <row r="20">
          <cell r="A20" t="str">
            <v>Hawaii</v>
          </cell>
          <cell r="B20">
            <v>4971630</v>
          </cell>
          <cell r="C20">
            <v>0</v>
          </cell>
          <cell r="D20">
            <v>0</v>
          </cell>
          <cell r="E20">
            <v>4971630</v>
          </cell>
          <cell r="G20">
            <v>4971630</v>
          </cell>
          <cell r="H20">
            <v>0</v>
          </cell>
        </row>
        <row r="21">
          <cell r="A21" t="str">
            <v>Idaho</v>
          </cell>
          <cell r="B21">
            <v>1175820</v>
          </cell>
          <cell r="C21">
            <v>0</v>
          </cell>
          <cell r="D21">
            <v>0</v>
          </cell>
          <cell r="E21">
            <v>1175820</v>
          </cell>
          <cell r="G21">
            <v>1175819</v>
          </cell>
          <cell r="H21">
            <v>1</v>
          </cell>
        </row>
        <row r="22">
          <cell r="A22" t="str">
            <v>Illinois</v>
          </cell>
          <cell r="B22">
            <v>56873825</v>
          </cell>
          <cell r="C22">
            <v>0</v>
          </cell>
          <cell r="D22">
            <v>0</v>
          </cell>
          <cell r="E22">
            <v>56873825</v>
          </cell>
          <cell r="G22">
            <v>56873825</v>
          </cell>
          <cell r="H22">
            <v>0</v>
          </cell>
        </row>
        <row r="23">
          <cell r="A23" t="str">
            <v>Indiana</v>
          </cell>
          <cell r="B23">
            <v>15356947</v>
          </cell>
          <cell r="C23">
            <v>0</v>
          </cell>
          <cell r="D23">
            <v>0</v>
          </cell>
          <cell r="E23">
            <v>15356947</v>
          </cell>
          <cell r="G23">
            <v>15356947</v>
          </cell>
          <cell r="H23">
            <v>0</v>
          </cell>
        </row>
        <row r="24">
          <cell r="A24" t="str">
            <v>Iowa</v>
          </cell>
          <cell r="B24">
            <v>5078586</v>
          </cell>
          <cell r="C24">
            <v>0</v>
          </cell>
          <cell r="D24">
            <v>0</v>
          </cell>
          <cell r="E24">
            <v>5078586</v>
          </cell>
          <cell r="G24">
            <v>5078586</v>
          </cell>
          <cell r="H24">
            <v>0</v>
          </cell>
        </row>
        <row r="25">
          <cell r="A25" t="str">
            <v>Kansas</v>
          </cell>
          <cell r="B25">
            <v>6673023</v>
          </cell>
          <cell r="C25">
            <v>0</v>
          </cell>
          <cell r="D25">
            <v>0</v>
          </cell>
          <cell r="E25">
            <v>6673023</v>
          </cell>
          <cell r="G25">
            <v>6673024</v>
          </cell>
          <cell r="H25">
            <v>-1</v>
          </cell>
        </row>
        <row r="26">
          <cell r="A26" t="str">
            <v>Kentucky</v>
          </cell>
          <cell r="B26">
            <v>7274537</v>
          </cell>
          <cell r="C26">
            <v>0</v>
          </cell>
          <cell r="D26">
            <v>0</v>
          </cell>
          <cell r="E26">
            <v>7274537</v>
          </cell>
          <cell r="G26">
            <v>7274537</v>
          </cell>
          <cell r="H26">
            <v>0</v>
          </cell>
        </row>
        <row r="27">
          <cell r="A27" t="str">
            <v>Louisiana</v>
          </cell>
          <cell r="B27">
            <v>5219488</v>
          </cell>
          <cell r="C27">
            <v>0</v>
          </cell>
          <cell r="D27">
            <v>0</v>
          </cell>
          <cell r="E27">
            <v>5219488</v>
          </cell>
          <cell r="G27">
            <v>5219488</v>
          </cell>
          <cell r="H27">
            <v>0</v>
          </cell>
        </row>
        <row r="28">
          <cell r="A28" t="str">
            <v>Maine</v>
          </cell>
          <cell r="B28">
            <v>1749818</v>
          </cell>
          <cell r="C28">
            <v>0</v>
          </cell>
          <cell r="D28">
            <v>0</v>
          </cell>
          <cell r="E28">
            <v>1749818</v>
          </cell>
          <cell r="G28">
            <v>1749818</v>
          </cell>
          <cell r="H28">
            <v>0</v>
          </cell>
        </row>
        <row r="29">
          <cell r="A29" t="str">
            <v>Maryland</v>
          </cell>
          <cell r="B29">
            <v>18641126</v>
          </cell>
          <cell r="C29">
            <v>0</v>
          </cell>
          <cell r="D29">
            <v>4660281</v>
          </cell>
          <cell r="E29">
            <v>23301407</v>
          </cell>
          <cell r="G29">
            <v>23301407</v>
          </cell>
          <cell r="H29">
            <v>0</v>
          </cell>
        </row>
        <row r="30">
          <cell r="A30" t="str">
            <v>Massachusetts</v>
          </cell>
          <cell r="B30">
            <v>44973368</v>
          </cell>
          <cell r="C30">
            <v>0</v>
          </cell>
          <cell r="D30">
            <v>0</v>
          </cell>
          <cell r="E30">
            <v>44973368</v>
          </cell>
          <cell r="G30">
            <v>44973368</v>
          </cell>
          <cell r="H30">
            <v>0</v>
          </cell>
        </row>
        <row r="31">
          <cell r="A31" t="str">
            <v>Michigan</v>
          </cell>
          <cell r="B31">
            <v>19529092</v>
          </cell>
          <cell r="C31">
            <v>0</v>
          </cell>
          <cell r="D31">
            <v>4882272</v>
          </cell>
          <cell r="E31">
            <v>24411364</v>
          </cell>
          <cell r="G31">
            <v>24411364</v>
          </cell>
          <cell r="H31">
            <v>0</v>
          </cell>
        </row>
        <row r="32">
          <cell r="A32" t="str">
            <v>Minnesota</v>
          </cell>
          <cell r="B32">
            <v>19690299</v>
          </cell>
          <cell r="C32">
            <v>0</v>
          </cell>
          <cell r="D32">
            <v>0</v>
          </cell>
          <cell r="E32">
            <v>19690299</v>
          </cell>
          <cell r="G32">
            <v>19690299</v>
          </cell>
          <cell r="H32">
            <v>0</v>
          </cell>
        </row>
        <row r="33">
          <cell r="A33" t="str">
            <v>Mississippi</v>
          </cell>
          <cell r="B33">
            <v>1715430</v>
          </cell>
          <cell r="C33">
            <v>0</v>
          </cell>
          <cell r="D33">
            <v>0</v>
          </cell>
          <cell r="E33">
            <v>1715430</v>
          </cell>
          <cell r="G33">
            <v>1715430</v>
          </cell>
          <cell r="H33">
            <v>0</v>
          </cell>
        </row>
        <row r="34">
          <cell r="A34" t="str">
            <v>Missouri</v>
          </cell>
          <cell r="B34">
            <v>16548756</v>
          </cell>
          <cell r="C34">
            <v>0</v>
          </cell>
          <cell r="D34">
            <v>0</v>
          </cell>
          <cell r="E34">
            <v>16548756</v>
          </cell>
          <cell r="G34">
            <v>16548755</v>
          </cell>
          <cell r="H34">
            <v>1</v>
          </cell>
        </row>
        <row r="35">
          <cell r="A35" t="str">
            <v>Montana</v>
          </cell>
          <cell r="B35">
            <v>1313990</v>
          </cell>
          <cell r="C35">
            <v>0</v>
          </cell>
          <cell r="D35">
            <v>0</v>
          </cell>
          <cell r="E35">
            <v>1313990</v>
          </cell>
          <cell r="G35">
            <v>1313990</v>
          </cell>
          <cell r="H35">
            <v>0</v>
          </cell>
        </row>
        <row r="36">
          <cell r="A36" t="str">
            <v>Nebraska</v>
          </cell>
          <cell r="B36">
            <v>6498998</v>
          </cell>
          <cell r="C36">
            <v>0</v>
          </cell>
          <cell r="D36">
            <v>0</v>
          </cell>
          <cell r="E36">
            <v>6498998</v>
          </cell>
          <cell r="G36">
            <v>6498998</v>
          </cell>
          <cell r="H36">
            <v>0</v>
          </cell>
        </row>
        <row r="37">
          <cell r="A37" t="str">
            <v>Nevada</v>
          </cell>
          <cell r="B37">
            <v>2580421</v>
          </cell>
          <cell r="C37">
            <v>0</v>
          </cell>
          <cell r="D37">
            <v>0</v>
          </cell>
          <cell r="E37">
            <v>2580421</v>
          </cell>
          <cell r="G37">
            <v>2580421</v>
          </cell>
          <cell r="H37">
            <v>0</v>
          </cell>
        </row>
        <row r="38">
          <cell r="A38" t="str">
            <v>New Hampshire</v>
          </cell>
          <cell r="B38">
            <v>4581870</v>
          </cell>
          <cell r="C38">
            <v>0</v>
          </cell>
          <cell r="D38">
            <v>0</v>
          </cell>
          <cell r="E38">
            <v>4581870</v>
          </cell>
          <cell r="G38">
            <v>4581866</v>
          </cell>
          <cell r="H38">
            <v>4</v>
          </cell>
        </row>
        <row r="39">
          <cell r="A39" t="str">
            <v>New Jersey</v>
          </cell>
          <cell r="B39">
            <v>26374178</v>
          </cell>
          <cell r="C39">
            <v>0</v>
          </cell>
          <cell r="D39">
            <v>0</v>
          </cell>
          <cell r="E39">
            <v>26374178</v>
          </cell>
          <cell r="G39">
            <v>26374178</v>
          </cell>
          <cell r="H39">
            <v>0</v>
          </cell>
        </row>
        <row r="40">
          <cell r="A40" t="str">
            <v>New Mexico</v>
          </cell>
          <cell r="B40">
            <v>2895259</v>
          </cell>
          <cell r="C40">
            <v>0</v>
          </cell>
          <cell r="D40">
            <v>0</v>
          </cell>
          <cell r="E40">
            <v>2895259</v>
          </cell>
          <cell r="G40">
            <v>2895259</v>
          </cell>
          <cell r="H40">
            <v>0</v>
          </cell>
        </row>
        <row r="41">
          <cell r="A41" t="str">
            <v>New York</v>
          </cell>
          <cell r="B41">
            <v>101983998</v>
          </cell>
          <cell r="C41">
            <v>0</v>
          </cell>
          <cell r="D41">
            <v>0</v>
          </cell>
          <cell r="E41">
            <v>101983998</v>
          </cell>
          <cell r="G41">
            <v>101983998</v>
          </cell>
          <cell r="H41">
            <v>0</v>
          </cell>
        </row>
        <row r="42">
          <cell r="A42" t="str">
            <v>North Carolina</v>
          </cell>
          <cell r="B42">
            <v>37927282</v>
          </cell>
          <cell r="C42">
            <v>0</v>
          </cell>
          <cell r="D42">
            <v>0</v>
          </cell>
          <cell r="E42">
            <v>37927282</v>
          </cell>
          <cell r="G42">
            <v>37927282</v>
          </cell>
          <cell r="H42">
            <v>0</v>
          </cell>
        </row>
        <row r="43">
          <cell r="A43" t="str">
            <v>North Dakota</v>
          </cell>
          <cell r="B43">
            <v>1017036</v>
          </cell>
          <cell r="C43">
            <v>0</v>
          </cell>
          <cell r="D43">
            <v>0</v>
          </cell>
          <cell r="E43">
            <v>1017036</v>
          </cell>
          <cell r="G43">
            <v>1017036</v>
          </cell>
          <cell r="H43">
            <v>0</v>
          </cell>
        </row>
        <row r="44">
          <cell r="A44" t="str">
            <v>Northern Mariana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</row>
        <row r="45">
          <cell r="A45" t="str">
            <v>Ohio</v>
          </cell>
          <cell r="B45">
            <v>58238876</v>
          </cell>
          <cell r="C45">
            <v>0</v>
          </cell>
          <cell r="D45">
            <v>0</v>
          </cell>
          <cell r="E45">
            <v>58238876</v>
          </cell>
          <cell r="G45">
            <v>45403943</v>
          </cell>
          <cell r="H45">
            <v>12834933</v>
          </cell>
        </row>
        <row r="46">
          <cell r="A46" t="str">
            <v>Oklahoma</v>
          </cell>
          <cell r="B46">
            <v>8504187</v>
          </cell>
          <cell r="C46">
            <v>0</v>
          </cell>
          <cell r="D46">
            <v>2126046</v>
          </cell>
          <cell r="E46">
            <v>10630233</v>
          </cell>
          <cell r="G46">
            <v>10630233</v>
          </cell>
          <cell r="H46">
            <v>0</v>
          </cell>
        </row>
        <row r="47">
          <cell r="A47" t="str">
            <v>Oregon</v>
          </cell>
          <cell r="B47">
            <v>9371973</v>
          </cell>
          <cell r="C47">
            <v>0</v>
          </cell>
          <cell r="D47">
            <v>2342993</v>
          </cell>
          <cell r="E47">
            <v>11714966</v>
          </cell>
          <cell r="G47">
            <v>11714966</v>
          </cell>
          <cell r="H47">
            <v>0</v>
          </cell>
        </row>
        <row r="48">
          <cell r="A48" t="str">
            <v>Pennsylvania</v>
          </cell>
          <cell r="B48">
            <v>46629051</v>
          </cell>
          <cell r="C48">
            <v>0</v>
          </cell>
          <cell r="D48">
            <v>0</v>
          </cell>
          <cell r="E48">
            <v>46629051</v>
          </cell>
          <cell r="G48">
            <v>46629051</v>
          </cell>
          <cell r="H48">
            <v>0</v>
          </cell>
        </row>
        <row r="49">
          <cell r="A49" t="str">
            <v>Puerto Rico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G49">
            <v>0</v>
          </cell>
          <cell r="H49">
            <v>0</v>
          </cell>
        </row>
        <row r="50">
          <cell r="A50" t="str">
            <v>Rhode Island</v>
          </cell>
          <cell r="B50">
            <v>5321126</v>
          </cell>
          <cell r="C50">
            <v>0</v>
          </cell>
          <cell r="D50">
            <v>0</v>
          </cell>
          <cell r="E50">
            <v>5321126</v>
          </cell>
          <cell r="G50">
            <v>5321126</v>
          </cell>
          <cell r="H50">
            <v>0</v>
          </cell>
        </row>
        <row r="51">
          <cell r="A51" t="str">
            <v>South Carolina</v>
          </cell>
          <cell r="B51">
            <v>3268215</v>
          </cell>
          <cell r="C51">
            <v>0</v>
          </cell>
          <cell r="D51">
            <v>817054</v>
          </cell>
          <cell r="E51">
            <v>4085269</v>
          </cell>
          <cell r="G51">
            <v>4085269</v>
          </cell>
          <cell r="H51">
            <v>0</v>
          </cell>
        </row>
        <row r="52">
          <cell r="A52" t="str">
            <v>South Dakota</v>
          </cell>
          <cell r="B52">
            <v>802914</v>
          </cell>
          <cell r="C52">
            <v>0</v>
          </cell>
          <cell r="D52">
            <v>0</v>
          </cell>
          <cell r="E52">
            <v>802914</v>
          </cell>
          <cell r="G52">
            <v>802914</v>
          </cell>
          <cell r="H52">
            <v>0</v>
          </cell>
        </row>
        <row r="53">
          <cell r="A53" t="str">
            <v>Tennessee</v>
          </cell>
          <cell r="B53">
            <v>16534933</v>
          </cell>
          <cell r="C53">
            <v>0</v>
          </cell>
          <cell r="D53">
            <v>2440849</v>
          </cell>
          <cell r="E53">
            <v>18975782</v>
          </cell>
          <cell r="G53">
            <v>18975782</v>
          </cell>
          <cell r="H53">
            <v>0</v>
          </cell>
        </row>
        <row r="54">
          <cell r="A54" t="str">
            <v>Texas</v>
          </cell>
          <cell r="B54">
            <v>27758251</v>
          </cell>
          <cell r="C54">
            <v>0</v>
          </cell>
          <cell r="D54">
            <v>6923170</v>
          </cell>
          <cell r="E54">
            <v>34681421</v>
          </cell>
          <cell r="G54">
            <v>34681421</v>
          </cell>
          <cell r="H54">
            <v>0</v>
          </cell>
        </row>
        <row r="55">
          <cell r="A55" t="str">
            <v>Utah</v>
          </cell>
          <cell r="B55">
            <v>3579939</v>
          </cell>
          <cell r="C55">
            <v>0</v>
          </cell>
          <cell r="D55">
            <v>894984</v>
          </cell>
          <cell r="E55">
            <v>4474923</v>
          </cell>
          <cell r="G55">
            <v>4474923</v>
          </cell>
          <cell r="H55">
            <v>0</v>
          </cell>
        </row>
        <row r="56">
          <cell r="A56" t="str">
            <v>Vermont</v>
          </cell>
          <cell r="B56">
            <v>2666323</v>
          </cell>
          <cell r="C56">
            <v>0</v>
          </cell>
          <cell r="D56">
            <v>0</v>
          </cell>
          <cell r="E56">
            <v>2666323</v>
          </cell>
          <cell r="G56">
            <v>2666323</v>
          </cell>
          <cell r="H56">
            <v>0</v>
          </cell>
        </row>
        <row r="57">
          <cell r="A57" t="str">
            <v>Virgin Islands 2/</v>
          </cell>
        </row>
        <row r="58">
          <cell r="A58" t="str">
            <v>Virginia</v>
          </cell>
          <cell r="B58">
            <v>17063010</v>
          </cell>
          <cell r="C58">
            <v>0</v>
          </cell>
          <cell r="D58">
            <v>4265752</v>
          </cell>
          <cell r="E58">
            <v>21328762</v>
          </cell>
          <cell r="G58">
            <v>21328762</v>
          </cell>
          <cell r="H58">
            <v>0</v>
          </cell>
        </row>
        <row r="59">
          <cell r="A59" t="str">
            <v>Washington 3/</v>
          </cell>
          <cell r="B59">
            <v>32280093</v>
          </cell>
          <cell r="C59">
            <v>0</v>
          </cell>
          <cell r="D59">
            <v>5142000</v>
          </cell>
          <cell r="E59">
            <v>37422093</v>
          </cell>
          <cell r="G59">
            <v>38707605</v>
          </cell>
          <cell r="H59">
            <v>-1285512</v>
          </cell>
        </row>
        <row r="60">
          <cell r="A60" t="str">
            <v>West Virginia</v>
          </cell>
          <cell r="B60">
            <v>2971392</v>
          </cell>
          <cell r="C60">
            <v>0</v>
          </cell>
          <cell r="D60">
            <v>0</v>
          </cell>
          <cell r="E60">
            <v>2971392</v>
          </cell>
          <cell r="G60">
            <v>2971392</v>
          </cell>
          <cell r="H60">
            <v>0</v>
          </cell>
        </row>
        <row r="61">
          <cell r="A61" t="str">
            <v>Wisconsin</v>
          </cell>
          <cell r="B61">
            <v>13159525</v>
          </cell>
          <cell r="C61">
            <v>0</v>
          </cell>
          <cell r="D61">
            <v>3289881</v>
          </cell>
          <cell r="E61">
            <v>16449406</v>
          </cell>
          <cell r="G61">
            <v>16449406</v>
          </cell>
          <cell r="H61">
            <v>0</v>
          </cell>
        </row>
        <row r="62">
          <cell r="A62" t="str">
            <v>Wyoming</v>
          </cell>
          <cell r="B62">
            <v>1553707</v>
          </cell>
          <cell r="C62">
            <v>0</v>
          </cell>
          <cell r="D62">
            <v>0</v>
          </cell>
          <cell r="E62">
            <v>1553707</v>
          </cell>
          <cell r="G62">
            <v>1553707</v>
          </cell>
          <cell r="H62">
            <v>0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selection activeCell="G20" sqref="G20"/>
    </sheetView>
  </sheetViews>
  <sheetFormatPr defaultRowHeight="14.5" x14ac:dyDescent="0.35"/>
  <cols>
    <col min="1" max="1" width="22.81640625" customWidth="1"/>
    <col min="2" max="2" width="20.7265625" customWidth="1"/>
    <col min="3" max="3" width="18.81640625" customWidth="1"/>
    <col min="4" max="5" width="20.453125" customWidth="1"/>
    <col min="6" max="6" width="23" customWidth="1"/>
    <col min="7" max="7" width="14.54296875" bestFit="1" customWidth="1"/>
  </cols>
  <sheetData>
    <row r="1" spans="1:7" x14ac:dyDescent="0.35">
      <c r="A1" s="67" t="s">
        <v>92</v>
      </c>
      <c r="B1" s="67"/>
      <c r="C1" s="67"/>
      <c r="D1" s="67"/>
      <c r="E1" s="67"/>
      <c r="F1" s="67"/>
    </row>
    <row r="2" spans="1:7" x14ac:dyDescent="0.35">
      <c r="A2" s="26"/>
      <c r="B2" s="32" t="s">
        <v>93</v>
      </c>
      <c r="C2" s="35" t="s">
        <v>1</v>
      </c>
      <c r="D2" s="42" t="s">
        <v>2</v>
      </c>
      <c r="E2" s="35" t="s">
        <v>95</v>
      </c>
      <c r="F2" s="27" t="s">
        <v>3</v>
      </c>
    </row>
    <row r="3" spans="1:7" x14ac:dyDescent="0.35">
      <c r="A3" s="2" t="s">
        <v>4</v>
      </c>
      <c r="B3" s="57">
        <v>0</v>
      </c>
      <c r="C3" s="37">
        <v>8425028</v>
      </c>
      <c r="D3" s="37">
        <v>150249700</v>
      </c>
      <c r="E3" s="37">
        <v>913695732</v>
      </c>
      <c r="F3" s="37">
        <f>SUM(B3:E3)</f>
        <v>1072370460</v>
      </c>
      <c r="G3" s="25"/>
    </row>
    <row r="4" spans="1:7" x14ac:dyDescent="0.35">
      <c r="A4" s="2" t="s">
        <v>5</v>
      </c>
      <c r="B4" s="57">
        <v>0</v>
      </c>
      <c r="C4" s="37">
        <v>-1989623</v>
      </c>
      <c r="D4" s="37">
        <v>645973981</v>
      </c>
      <c r="E4" s="37">
        <v>1408755059</v>
      </c>
      <c r="F4" s="37">
        <f t="shared" ref="F4:F13" si="0">SUM(B4:E4)</f>
        <v>2052739417</v>
      </c>
      <c r="G4" s="25"/>
    </row>
    <row r="5" spans="1:7" x14ac:dyDescent="0.35">
      <c r="A5" s="2" t="s">
        <v>6</v>
      </c>
      <c r="B5" s="57">
        <v>-2231191</v>
      </c>
      <c r="C5" s="37">
        <v>885234953</v>
      </c>
      <c r="D5" s="57">
        <v>2716083669</v>
      </c>
      <c r="E5" s="37">
        <v>2703459605</v>
      </c>
      <c r="F5" s="37">
        <f t="shared" si="0"/>
        <v>6302547036</v>
      </c>
      <c r="G5" s="25"/>
    </row>
    <row r="6" spans="1:7" x14ac:dyDescent="0.35">
      <c r="A6" s="2" t="s">
        <v>7</v>
      </c>
      <c r="B6" s="57"/>
      <c r="C6" s="50">
        <v>274283454</v>
      </c>
      <c r="D6" s="37">
        <v>0</v>
      </c>
      <c r="E6" s="37">
        <v>0</v>
      </c>
      <c r="F6" s="37">
        <f t="shared" si="0"/>
        <v>274283454</v>
      </c>
      <c r="G6" s="25"/>
    </row>
    <row r="7" spans="1:7" ht="26" x14ac:dyDescent="0.35">
      <c r="A7" s="2" t="s">
        <v>8</v>
      </c>
      <c r="B7" s="50">
        <v>0</v>
      </c>
      <c r="C7" s="50">
        <v>8026683</v>
      </c>
      <c r="D7" s="37">
        <v>248968</v>
      </c>
      <c r="E7" s="37">
        <v>0</v>
      </c>
      <c r="F7" s="37">
        <f t="shared" si="0"/>
        <v>8275651</v>
      </c>
      <c r="G7" s="25"/>
    </row>
    <row r="8" spans="1:7" x14ac:dyDescent="0.35">
      <c r="A8" s="2" t="s">
        <v>9</v>
      </c>
      <c r="B8" s="50">
        <v>0</v>
      </c>
      <c r="C8" s="50">
        <v>0</v>
      </c>
      <c r="D8" s="37">
        <v>3263787937</v>
      </c>
      <c r="E8" s="37">
        <v>0</v>
      </c>
      <c r="F8" s="37">
        <f t="shared" si="0"/>
        <v>3263787937</v>
      </c>
      <c r="G8" s="25"/>
    </row>
    <row r="9" spans="1:7" x14ac:dyDescent="0.35">
      <c r="A9" s="2" t="s">
        <v>10</v>
      </c>
      <c r="B9" s="50">
        <v>0</v>
      </c>
      <c r="C9" s="50">
        <v>0</v>
      </c>
      <c r="D9" s="50">
        <v>1193742652</v>
      </c>
      <c r="E9" s="37">
        <v>0</v>
      </c>
      <c r="F9" s="37">
        <f t="shared" si="0"/>
        <v>1193742652</v>
      </c>
      <c r="G9" s="25"/>
    </row>
    <row r="10" spans="1:7" x14ac:dyDescent="0.35">
      <c r="A10" s="2" t="s">
        <v>11</v>
      </c>
      <c r="B10" s="50">
        <v>0</v>
      </c>
      <c r="C10" s="50">
        <v>0</v>
      </c>
      <c r="D10" s="50">
        <v>13046033634</v>
      </c>
      <c r="E10" s="37">
        <v>0</v>
      </c>
      <c r="F10" s="37">
        <f t="shared" si="0"/>
        <v>13046033634</v>
      </c>
      <c r="G10" s="25"/>
    </row>
    <row r="11" spans="1:7" x14ac:dyDescent="0.35">
      <c r="A11" s="41" t="s">
        <v>12</v>
      </c>
      <c r="B11" s="33">
        <f>SUM(B3:B10)</f>
        <v>-2231191</v>
      </c>
      <c r="C11" s="33">
        <f>SUM(C3:C10)</f>
        <v>1173980495</v>
      </c>
      <c r="D11" s="33">
        <f>SUM(D3:D10)</f>
        <v>21016120541</v>
      </c>
      <c r="E11" s="33">
        <f>SUM(E3:E10)</f>
        <v>5025910396</v>
      </c>
      <c r="F11" s="37">
        <f t="shared" si="0"/>
        <v>27213780241</v>
      </c>
    </row>
    <row r="12" spans="1:7" x14ac:dyDescent="0.35">
      <c r="A12" s="2" t="s">
        <v>13</v>
      </c>
      <c r="B12" s="57">
        <v>0</v>
      </c>
      <c r="C12" s="37">
        <v>-21565805</v>
      </c>
      <c r="D12" s="37">
        <v>93391963</v>
      </c>
      <c r="E12" s="37">
        <v>940087567</v>
      </c>
      <c r="F12" s="37">
        <f t="shared" si="0"/>
        <v>1011913725</v>
      </c>
      <c r="G12" s="25"/>
    </row>
    <row r="13" spans="1:7" x14ac:dyDescent="0.35">
      <c r="A13" s="2" t="s">
        <v>14</v>
      </c>
      <c r="B13" s="37">
        <v>0</v>
      </c>
      <c r="C13" s="37">
        <v>-1</v>
      </c>
      <c r="D13" s="37">
        <v>-15551249</v>
      </c>
      <c r="E13" s="37">
        <v>887607153</v>
      </c>
      <c r="F13" s="37">
        <f t="shared" si="0"/>
        <v>872055903</v>
      </c>
      <c r="G13" s="25"/>
    </row>
    <row r="14" spans="1:7" x14ac:dyDescent="0.35">
      <c r="A14" s="41" t="s">
        <v>15</v>
      </c>
      <c r="B14" s="38">
        <f>SUM(B12:B13)</f>
        <v>0</v>
      </c>
      <c r="C14" s="38">
        <f t="shared" ref="C14:E14" si="1">SUM(C12:C13)</f>
        <v>-21565806</v>
      </c>
      <c r="D14" s="38">
        <f t="shared" si="1"/>
        <v>77840714</v>
      </c>
      <c r="E14" s="38">
        <f t="shared" si="1"/>
        <v>1827694720</v>
      </c>
      <c r="F14" s="37">
        <f>SUM(B14:E14)</f>
        <v>1883969628</v>
      </c>
    </row>
    <row r="15" spans="1:7" x14ac:dyDescent="0.35">
      <c r="A15" s="3" t="s">
        <v>16</v>
      </c>
      <c r="B15" s="39">
        <f>B11+B14</f>
        <v>-2231191</v>
      </c>
      <c r="C15" s="39">
        <f>C11+C14</f>
        <v>1152414689</v>
      </c>
      <c r="D15" s="39">
        <f>D11+D14</f>
        <v>21093961255</v>
      </c>
      <c r="E15" s="39">
        <f>E11+E14</f>
        <v>6853605116</v>
      </c>
      <c r="F15" s="40">
        <f>SUM(B15:E15)</f>
        <v>29097749869</v>
      </c>
      <c r="G15" s="25"/>
    </row>
    <row r="18" spans="1:3" x14ac:dyDescent="0.35">
      <c r="C18" s="36"/>
    </row>
    <row r="19" spans="1:3" x14ac:dyDescent="0.35">
      <c r="A19" t="s">
        <v>94</v>
      </c>
    </row>
    <row r="22" spans="1:3" x14ac:dyDescent="0.35">
      <c r="B22" s="25"/>
    </row>
  </sheetData>
  <mergeCells count="1">
    <mergeCell ref="A1:F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"/>
  <sheetViews>
    <sheetView workbookViewId="0">
      <selection activeCell="B18" sqref="B18:F26"/>
    </sheetView>
  </sheetViews>
  <sheetFormatPr defaultRowHeight="12.5" x14ac:dyDescent="0.25"/>
  <cols>
    <col min="1" max="1" width="24.81640625" style="4" customWidth="1"/>
    <col min="2" max="6" width="17.7265625" style="4" customWidth="1"/>
    <col min="7" max="7" width="14.54296875" style="4" customWidth="1"/>
    <col min="8" max="9" width="9.1796875" style="4"/>
    <col min="10" max="10" width="15.1796875" style="4" customWidth="1"/>
    <col min="11" max="12" width="9.1796875" style="4"/>
    <col min="13" max="13" width="16.54296875" style="4" customWidth="1"/>
    <col min="14" max="16" width="9.1796875" style="4"/>
    <col min="17" max="17" width="21" style="4" customWidth="1"/>
    <col min="18" max="257" width="9.1796875" style="4"/>
    <col min="258" max="262" width="17.7265625" style="4" customWidth="1"/>
    <col min="263" max="263" width="14.54296875" style="4" customWidth="1"/>
    <col min="264" max="265" width="9.1796875" style="4"/>
    <col min="266" max="266" width="15.1796875" style="4" customWidth="1"/>
    <col min="267" max="268" width="9.1796875" style="4"/>
    <col min="269" max="269" width="16.54296875" style="4" customWidth="1"/>
    <col min="270" max="272" width="9.1796875" style="4"/>
    <col min="273" max="273" width="21" style="4" customWidth="1"/>
    <col min="274" max="513" width="9.1796875" style="4"/>
    <col min="514" max="518" width="17.7265625" style="4" customWidth="1"/>
    <col min="519" max="519" width="14.54296875" style="4" customWidth="1"/>
    <col min="520" max="521" width="9.1796875" style="4"/>
    <col min="522" max="522" width="15.1796875" style="4" customWidth="1"/>
    <col min="523" max="524" width="9.1796875" style="4"/>
    <col min="525" max="525" width="16.54296875" style="4" customWidth="1"/>
    <col min="526" max="528" width="9.1796875" style="4"/>
    <col min="529" max="529" width="21" style="4" customWidth="1"/>
    <col min="530" max="769" width="9.1796875" style="4"/>
    <col min="770" max="774" width="17.7265625" style="4" customWidth="1"/>
    <col min="775" max="775" width="14.54296875" style="4" customWidth="1"/>
    <col min="776" max="777" width="9.1796875" style="4"/>
    <col min="778" max="778" width="15.1796875" style="4" customWidth="1"/>
    <col min="779" max="780" width="9.1796875" style="4"/>
    <col min="781" max="781" width="16.54296875" style="4" customWidth="1"/>
    <col min="782" max="784" width="9.1796875" style="4"/>
    <col min="785" max="785" width="21" style="4" customWidth="1"/>
    <col min="786" max="1025" width="9.1796875" style="4"/>
    <col min="1026" max="1030" width="17.7265625" style="4" customWidth="1"/>
    <col min="1031" max="1031" width="14.54296875" style="4" customWidth="1"/>
    <col min="1032" max="1033" width="9.1796875" style="4"/>
    <col min="1034" max="1034" width="15.1796875" style="4" customWidth="1"/>
    <col min="1035" max="1036" width="9.1796875" style="4"/>
    <col min="1037" max="1037" width="16.54296875" style="4" customWidth="1"/>
    <col min="1038" max="1040" width="9.1796875" style="4"/>
    <col min="1041" max="1041" width="21" style="4" customWidth="1"/>
    <col min="1042" max="1281" width="9.1796875" style="4"/>
    <col min="1282" max="1286" width="17.7265625" style="4" customWidth="1"/>
    <col min="1287" max="1287" width="14.54296875" style="4" customWidth="1"/>
    <col min="1288" max="1289" width="9.1796875" style="4"/>
    <col min="1290" max="1290" width="15.1796875" style="4" customWidth="1"/>
    <col min="1291" max="1292" width="9.1796875" style="4"/>
    <col min="1293" max="1293" width="16.54296875" style="4" customWidth="1"/>
    <col min="1294" max="1296" width="9.1796875" style="4"/>
    <col min="1297" max="1297" width="21" style="4" customWidth="1"/>
    <col min="1298" max="1537" width="9.1796875" style="4"/>
    <col min="1538" max="1542" width="17.7265625" style="4" customWidth="1"/>
    <col min="1543" max="1543" width="14.54296875" style="4" customWidth="1"/>
    <col min="1544" max="1545" width="9.1796875" style="4"/>
    <col min="1546" max="1546" width="15.1796875" style="4" customWidth="1"/>
    <col min="1547" max="1548" width="9.1796875" style="4"/>
    <col min="1549" max="1549" width="16.54296875" style="4" customWidth="1"/>
    <col min="1550" max="1552" width="9.1796875" style="4"/>
    <col min="1553" max="1553" width="21" style="4" customWidth="1"/>
    <col min="1554" max="1793" width="9.1796875" style="4"/>
    <col min="1794" max="1798" width="17.7265625" style="4" customWidth="1"/>
    <col min="1799" max="1799" width="14.54296875" style="4" customWidth="1"/>
    <col min="1800" max="1801" width="9.1796875" style="4"/>
    <col min="1802" max="1802" width="15.1796875" style="4" customWidth="1"/>
    <col min="1803" max="1804" width="9.1796875" style="4"/>
    <col min="1805" max="1805" width="16.54296875" style="4" customWidth="1"/>
    <col min="1806" max="1808" width="9.1796875" style="4"/>
    <col min="1809" max="1809" width="21" style="4" customWidth="1"/>
    <col min="1810" max="2049" width="9.1796875" style="4"/>
    <col min="2050" max="2054" width="17.7265625" style="4" customWidth="1"/>
    <col min="2055" max="2055" width="14.54296875" style="4" customWidth="1"/>
    <col min="2056" max="2057" width="9.1796875" style="4"/>
    <col min="2058" max="2058" width="15.1796875" style="4" customWidth="1"/>
    <col min="2059" max="2060" width="9.1796875" style="4"/>
    <col min="2061" max="2061" width="16.54296875" style="4" customWidth="1"/>
    <col min="2062" max="2064" width="9.1796875" style="4"/>
    <col min="2065" max="2065" width="21" style="4" customWidth="1"/>
    <col min="2066" max="2305" width="9.1796875" style="4"/>
    <col min="2306" max="2310" width="17.7265625" style="4" customWidth="1"/>
    <col min="2311" max="2311" width="14.54296875" style="4" customWidth="1"/>
    <col min="2312" max="2313" width="9.1796875" style="4"/>
    <col min="2314" max="2314" width="15.1796875" style="4" customWidth="1"/>
    <col min="2315" max="2316" width="9.1796875" style="4"/>
    <col min="2317" max="2317" width="16.54296875" style="4" customWidth="1"/>
    <col min="2318" max="2320" width="9.1796875" style="4"/>
    <col min="2321" max="2321" width="21" style="4" customWidth="1"/>
    <col min="2322" max="2561" width="9.1796875" style="4"/>
    <col min="2562" max="2566" width="17.7265625" style="4" customWidth="1"/>
    <col min="2567" max="2567" width="14.54296875" style="4" customWidth="1"/>
    <col min="2568" max="2569" width="9.1796875" style="4"/>
    <col min="2570" max="2570" width="15.1796875" style="4" customWidth="1"/>
    <col min="2571" max="2572" width="9.1796875" style="4"/>
    <col min="2573" max="2573" width="16.54296875" style="4" customWidth="1"/>
    <col min="2574" max="2576" width="9.1796875" style="4"/>
    <col min="2577" max="2577" width="21" style="4" customWidth="1"/>
    <col min="2578" max="2817" width="9.1796875" style="4"/>
    <col min="2818" max="2822" width="17.7265625" style="4" customWidth="1"/>
    <col min="2823" max="2823" width="14.54296875" style="4" customWidth="1"/>
    <col min="2824" max="2825" width="9.1796875" style="4"/>
    <col min="2826" max="2826" width="15.1796875" style="4" customWidth="1"/>
    <col min="2827" max="2828" width="9.1796875" style="4"/>
    <col min="2829" max="2829" width="16.54296875" style="4" customWidth="1"/>
    <col min="2830" max="2832" width="9.1796875" style="4"/>
    <col min="2833" max="2833" width="21" style="4" customWidth="1"/>
    <col min="2834" max="3073" width="9.1796875" style="4"/>
    <col min="3074" max="3078" width="17.7265625" style="4" customWidth="1"/>
    <col min="3079" max="3079" width="14.54296875" style="4" customWidth="1"/>
    <col min="3080" max="3081" width="9.1796875" style="4"/>
    <col min="3082" max="3082" width="15.1796875" style="4" customWidth="1"/>
    <col min="3083" max="3084" width="9.1796875" style="4"/>
    <col min="3085" max="3085" width="16.54296875" style="4" customWidth="1"/>
    <col min="3086" max="3088" width="9.1796875" style="4"/>
    <col min="3089" max="3089" width="21" style="4" customWidth="1"/>
    <col min="3090" max="3329" width="9.1796875" style="4"/>
    <col min="3330" max="3334" width="17.7265625" style="4" customWidth="1"/>
    <col min="3335" max="3335" width="14.54296875" style="4" customWidth="1"/>
    <col min="3336" max="3337" width="9.1796875" style="4"/>
    <col min="3338" max="3338" width="15.1796875" style="4" customWidth="1"/>
    <col min="3339" max="3340" width="9.1796875" style="4"/>
    <col min="3341" max="3341" width="16.54296875" style="4" customWidth="1"/>
    <col min="3342" max="3344" width="9.1796875" style="4"/>
    <col min="3345" max="3345" width="21" style="4" customWidth="1"/>
    <col min="3346" max="3585" width="9.1796875" style="4"/>
    <col min="3586" max="3590" width="17.7265625" style="4" customWidth="1"/>
    <col min="3591" max="3591" width="14.54296875" style="4" customWidth="1"/>
    <col min="3592" max="3593" width="9.1796875" style="4"/>
    <col min="3594" max="3594" width="15.1796875" style="4" customWidth="1"/>
    <col min="3595" max="3596" width="9.1796875" style="4"/>
    <col min="3597" max="3597" width="16.54296875" style="4" customWidth="1"/>
    <col min="3598" max="3600" width="9.1796875" style="4"/>
    <col min="3601" max="3601" width="21" style="4" customWidth="1"/>
    <col min="3602" max="3841" width="9.1796875" style="4"/>
    <col min="3842" max="3846" width="17.7265625" style="4" customWidth="1"/>
    <col min="3847" max="3847" width="14.54296875" style="4" customWidth="1"/>
    <col min="3848" max="3849" width="9.1796875" style="4"/>
    <col min="3850" max="3850" width="15.1796875" style="4" customWidth="1"/>
    <col min="3851" max="3852" width="9.1796875" style="4"/>
    <col min="3853" max="3853" width="16.54296875" style="4" customWidth="1"/>
    <col min="3854" max="3856" width="9.1796875" style="4"/>
    <col min="3857" max="3857" width="21" style="4" customWidth="1"/>
    <col min="3858" max="4097" width="9.1796875" style="4"/>
    <col min="4098" max="4102" width="17.7265625" style="4" customWidth="1"/>
    <col min="4103" max="4103" width="14.54296875" style="4" customWidth="1"/>
    <col min="4104" max="4105" width="9.1796875" style="4"/>
    <col min="4106" max="4106" width="15.1796875" style="4" customWidth="1"/>
    <col min="4107" max="4108" width="9.1796875" style="4"/>
    <col min="4109" max="4109" width="16.54296875" style="4" customWidth="1"/>
    <col min="4110" max="4112" width="9.1796875" style="4"/>
    <col min="4113" max="4113" width="21" style="4" customWidth="1"/>
    <col min="4114" max="4353" width="9.1796875" style="4"/>
    <col min="4354" max="4358" width="17.7265625" style="4" customWidth="1"/>
    <col min="4359" max="4359" width="14.54296875" style="4" customWidth="1"/>
    <col min="4360" max="4361" width="9.1796875" style="4"/>
    <col min="4362" max="4362" width="15.1796875" style="4" customWidth="1"/>
    <col min="4363" max="4364" width="9.1796875" style="4"/>
    <col min="4365" max="4365" width="16.54296875" style="4" customWidth="1"/>
    <col min="4366" max="4368" width="9.1796875" style="4"/>
    <col min="4369" max="4369" width="21" style="4" customWidth="1"/>
    <col min="4370" max="4609" width="9.1796875" style="4"/>
    <col min="4610" max="4614" width="17.7265625" style="4" customWidth="1"/>
    <col min="4615" max="4615" width="14.54296875" style="4" customWidth="1"/>
    <col min="4616" max="4617" width="9.1796875" style="4"/>
    <col min="4618" max="4618" width="15.1796875" style="4" customWidth="1"/>
    <col min="4619" max="4620" width="9.1796875" style="4"/>
    <col min="4621" max="4621" width="16.54296875" style="4" customWidth="1"/>
    <col min="4622" max="4624" width="9.1796875" style="4"/>
    <col min="4625" max="4625" width="21" style="4" customWidth="1"/>
    <col min="4626" max="4865" width="9.1796875" style="4"/>
    <col min="4866" max="4870" width="17.7265625" style="4" customWidth="1"/>
    <col min="4871" max="4871" width="14.54296875" style="4" customWidth="1"/>
    <col min="4872" max="4873" width="9.1796875" style="4"/>
    <col min="4874" max="4874" width="15.1796875" style="4" customWidth="1"/>
    <col min="4875" max="4876" width="9.1796875" style="4"/>
    <col min="4877" max="4877" width="16.54296875" style="4" customWidth="1"/>
    <col min="4878" max="4880" width="9.1796875" style="4"/>
    <col min="4881" max="4881" width="21" style="4" customWidth="1"/>
    <col min="4882" max="5121" width="9.1796875" style="4"/>
    <col min="5122" max="5126" width="17.7265625" style="4" customWidth="1"/>
    <col min="5127" max="5127" width="14.54296875" style="4" customWidth="1"/>
    <col min="5128" max="5129" width="9.1796875" style="4"/>
    <col min="5130" max="5130" width="15.1796875" style="4" customWidth="1"/>
    <col min="5131" max="5132" width="9.1796875" style="4"/>
    <col min="5133" max="5133" width="16.54296875" style="4" customWidth="1"/>
    <col min="5134" max="5136" width="9.1796875" style="4"/>
    <col min="5137" max="5137" width="21" style="4" customWidth="1"/>
    <col min="5138" max="5377" width="9.1796875" style="4"/>
    <col min="5378" max="5382" width="17.7265625" style="4" customWidth="1"/>
    <col min="5383" max="5383" width="14.54296875" style="4" customWidth="1"/>
    <col min="5384" max="5385" width="9.1796875" style="4"/>
    <col min="5386" max="5386" width="15.1796875" style="4" customWidth="1"/>
    <col min="5387" max="5388" width="9.1796875" style="4"/>
    <col min="5389" max="5389" width="16.54296875" style="4" customWidth="1"/>
    <col min="5390" max="5392" width="9.1796875" style="4"/>
    <col min="5393" max="5393" width="21" style="4" customWidth="1"/>
    <col min="5394" max="5633" width="9.1796875" style="4"/>
    <col min="5634" max="5638" width="17.7265625" style="4" customWidth="1"/>
    <col min="5639" max="5639" width="14.54296875" style="4" customWidth="1"/>
    <col min="5640" max="5641" width="9.1796875" style="4"/>
    <col min="5642" max="5642" width="15.1796875" style="4" customWidth="1"/>
    <col min="5643" max="5644" width="9.1796875" style="4"/>
    <col min="5645" max="5645" width="16.54296875" style="4" customWidth="1"/>
    <col min="5646" max="5648" width="9.1796875" style="4"/>
    <col min="5649" max="5649" width="21" style="4" customWidth="1"/>
    <col min="5650" max="5889" width="9.1796875" style="4"/>
    <col min="5890" max="5894" width="17.7265625" style="4" customWidth="1"/>
    <col min="5895" max="5895" width="14.54296875" style="4" customWidth="1"/>
    <col min="5896" max="5897" width="9.1796875" style="4"/>
    <col min="5898" max="5898" width="15.1796875" style="4" customWidth="1"/>
    <col min="5899" max="5900" width="9.1796875" style="4"/>
    <col min="5901" max="5901" width="16.54296875" style="4" customWidth="1"/>
    <col min="5902" max="5904" width="9.1796875" style="4"/>
    <col min="5905" max="5905" width="21" style="4" customWidth="1"/>
    <col min="5906" max="6145" width="9.1796875" style="4"/>
    <col min="6146" max="6150" width="17.7265625" style="4" customWidth="1"/>
    <col min="6151" max="6151" width="14.54296875" style="4" customWidth="1"/>
    <col min="6152" max="6153" width="9.1796875" style="4"/>
    <col min="6154" max="6154" width="15.1796875" style="4" customWidth="1"/>
    <col min="6155" max="6156" width="9.1796875" style="4"/>
    <col min="6157" max="6157" width="16.54296875" style="4" customWidth="1"/>
    <col min="6158" max="6160" width="9.1796875" style="4"/>
    <col min="6161" max="6161" width="21" style="4" customWidth="1"/>
    <col min="6162" max="6401" width="9.1796875" style="4"/>
    <col min="6402" max="6406" width="17.7265625" style="4" customWidth="1"/>
    <col min="6407" max="6407" width="14.54296875" style="4" customWidth="1"/>
    <col min="6408" max="6409" width="9.1796875" style="4"/>
    <col min="6410" max="6410" width="15.1796875" style="4" customWidth="1"/>
    <col min="6411" max="6412" width="9.1796875" style="4"/>
    <col min="6413" max="6413" width="16.54296875" style="4" customWidth="1"/>
    <col min="6414" max="6416" width="9.1796875" style="4"/>
    <col min="6417" max="6417" width="21" style="4" customWidth="1"/>
    <col min="6418" max="6657" width="9.1796875" style="4"/>
    <col min="6658" max="6662" width="17.7265625" style="4" customWidth="1"/>
    <col min="6663" max="6663" width="14.54296875" style="4" customWidth="1"/>
    <col min="6664" max="6665" width="9.1796875" style="4"/>
    <col min="6666" max="6666" width="15.1796875" style="4" customWidth="1"/>
    <col min="6667" max="6668" width="9.1796875" style="4"/>
    <col min="6669" max="6669" width="16.54296875" style="4" customWidth="1"/>
    <col min="6670" max="6672" width="9.1796875" style="4"/>
    <col min="6673" max="6673" width="21" style="4" customWidth="1"/>
    <col min="6674" max="6913" width="9.1796875" style="4"/>
    <col min="6914" max="6918" width="17.7265625" style="4" customWidth="1"/>
    <col min="6919" max="6919" width="14.54296875" style="4" customWidth="1"/>
    <col min="6920" max="6921" width="9.1796875" style="4"/>
    <col min="6922" max="6922" width="15.1796875" style="4" customWidth="1"/>
    <col min="6923" max="6924" width="9.1796875" style="4"/>
    <col min="6925" max="6925" width="16.54296875" style="4" customWidth="1"/>
    <col min="6926" max="6928" width="9.1796875" style="4"/>
    <col min="6929" max="6929" width="21" style="4" customWidth="1"/>
    <col min="6930" max="7169" width="9.1796875" style="4"/>
    <col min="7170" max="7174" width="17.7265625" style="4" customWidth="1"/>
    <col min="7175" max="7175" width="14.54296875" style="4" customWidth="1"/>
    <col min="7176" max="7177" width="9.1796875" style="4"/>
    <col min="7178" max="7178" width="15.1796875" style="4" customWidth="1"/>
    <col min="7179" max="7180" width="9.1796875" style="4"/>
    <col min="7181" max="7181" width="16.54296875" style="4" customWidth="1"/>
    <col min="7182" max="7184" width="9.1796875" style="4"/>
    <col min="7185" max="7185" width="21" style="4" customWidth="1"/>
    <col min="7186" max="7425" width="9.1796875" style="4"/>
    <col min="7426" max="7430" width="17.7265625" style="4" customWidth="1"/>
    <col min="7431" max="7431" width="14.54296875" style="4" customWidth="1"/>
    <col min="7432" max="7433" width="9.1796875" style="4"/>
    <col min="7434" max="7434" width="15.1796875" style="4" customWidth="1"/>
    <col min="7435" max="7436" width="9.1796875" style="4"/>
    <col min="7437" max="7437" width="16.54296875" style="4" customWidth="1"/>
    <col min="7438" max="7440" width="9.1796875" style="4"/>
    <col min="7441" max="7441" width="21" style="4" customWidth="1"/>
    <col min="7442" max="7681" width="9.1796875" style="4"/>
    <col min="7682" max="7686" width="17.7265625" style="4" customWidth="1"/>
    <col min="7687" max="7687" width="14.54296875" style="4" customWidth="1"/>
    <col min="7688" max="7689" width="9.1796875" style="4"/>
    <col min="7690" max="7690" width="15.1796875" style="4" customWidth="1"/>
    <col min="7691" max="7692" width="9.1796875" style="4"/>
    <col min="7693" max="7693" width="16.54296875" style="4" customWidth="1"/>
    <col min="7694" max="7696" width="9.1796875" style="4"/>
    <col min="7697" max="7697" width="21" style="4" customWidth="1"/>
    <col min="7698" max="7937" width="9.1796875" style="4"/>
    <col min="7938" max="7942" width="17.7265625" style="4" customWidth="1"/>
    <col min="7943" max="7943" width="14.54296875" style="4" customWidth="1"/>
    <col min="7944" max="7945" width="9.1796875" style="4"/>
    <col min="7946" max="7946" width="15.1796875" style="4" customWidth="1"/>
    <col min="7947" max="7948" width="9.1796875" style="4"/>
    <col min="7949" max="7949" width="16.54296875" style="4" customWidth="1"/>
    <col min="7950" max="7952" width="9.1796875" style="4"/>
    <col min="7953" max="7953" width="21" style="4" customWidth="1"/>
    <col min="7954" max="8193" width="9.1796875" style="4"/>
    <col min="8194" max="8198" width="17.7265625" style="4" customWidth="1"/>
    <col min="8199" max="8199" width="14.54296875" style="4" customWidth="1"/>
    <col min="8200" max="8201" width="9.1796875" style="4"/>
    <col min="8202" max="8202" width="15.1796875" style="4" customWidth="1"/>
    <col min="8203" max="8204" width="9.1796875" style="4"/>
    <col min="8205" max="8205" width="16.54296875" style="4" customWidth="1"/>
    <col min="8206" max="8208" width="9.1796875" style="4"/>
    <col min="8209" max="8209" width="21" style="4" customWidth="1"/>
    <col min="8210" max="8449" width="9.1796875" style="4"/>
    <col min="8450" max="8454" width="17.7265625" style="4" customWidth="1"/>
    <col min="8455" max="8455" width="14.54296875" style="4" customWidth="1"/>
    <col min="8456" max="8457" width="9.1796875" style="4"/>
    <col min="8458" max="8458" width="15.1796875" style="4" customWidth="1"/>
    <col min="8459" max="8460" width="9.1796875" style="4"/>
    <col min="8461" max="8461" width="16.54296875" style="4" customWidth="1"/>
    <col min="8462" max="8464" width="9.1796875" style="4"/>
    <col min="8465" max="8465" width="21" style="4" customWidth="1"/>
    <col min="8466" max="8705" width="9.1796875" style="4"/>
    <col min="8706" max="8710" width="17.7265625" style="4" customWidth="1"/>
    <col min="8711" max="8711" width="14.54296875" style="4" customWidth="1"/>
    <col min="8712" max="8713" width="9.1796875" style="4"/>
    <col min="8714" max="8714" width="15.1796875" style="4" customWidth="1"/>
    <col min="8715" max="8716" width="9.1796875" style="4"/>
    <col min="8717" max="8717" width="16.54296875" style="4" customWidth="1"/>
    <col min="8718" max="8720" width="9.1796875" style="4"/>
    <col min="8721" max="8721" width="21" style="4" customWidth="1"/>
    <col min="8722" max="8961" width="9.1796875" style="4"/>
    <col min="8962" max="8966" width="17.7265625" style="4" customWidth="1"/>
    <col min="8967" max="8967" width="14.54296875" style="4" customWidth="1"/>
    <col min="8968" max="8969" width="9.1796875" style="4"/>
    <col min="8970" max="8970" width="15.1796875" style="4" customWidth="1"/>
    <col min="8971" max="8972" width="9.1796875" style="4"/>
    <col min="8973" max="8973" width="16.54296875" style="4" customWidth="1"/>
    <col min="8974" max="8976" width="9.1796875" style="4"/>
    <col min="8977" max="8977" width="21" style="4" customWidth="1"/>
    <col min="8978" max="9217" width="9.1796875" style="4"/>
    <col min="9218" max="9222" width="17.7265625" style="4" customWidth="1"/>
    <col min="9223" max="9223" width="14.54296875" style="4" customWidth="1"/>
    <col min="9224" max="9225" width="9.1796875" style="4"/>
    <col min="9226" max="9226" width="15.1796875" style="4" customWidth="1"/>
    <col min="9227" max="9228" width="9.1796875" style="4"/>
    <col min="9229" max="9229" width="16.54296875" style="4" customWidth="1"/>
    <col min="9230" max="9232" width="9.1796875" style="4"/>
    <col min="9233" max="9233" width="21" style="4" customWidth="1"/>
    <col min="9234" max="9473" width="9.1796875" style="4"/>
    <col min="9474" max="9478" width="17.7265625" style="4" customWidth="1"/>
    <col min="9479" max="9479" width="14.54296875" style="4" customWidth="1"/>
    <col min="9480" max="9481" width="9.1796875" style="4"/>
    <col min="9482" max="9482" width="15.1796875" style="4" customWidth="1"/>
    <col min="9483" max="9484" width="9.1796875" style="4"/>
    <col min="9485" max="9485" width="16.54296875" style="4" customWidth="1"/>
    <col min="9486" max="9488" width="9.1796875" style="4"/>
    <col min="9489" max="9489" width="21" style="4" customWidth="1"/>
    <col min="9490" max="9729" width="9.1796875" style="4"/>
    <col min="9730" max="9734" width="17.7265625" style="4" customWidth="1"/>
    <col min="9735" max="9735" width="14.54296875" style="4" customWidth="1"/>
    <col min="9736" max="9737" width="9.1796875" style="4"/>
    <col min="9738" max="9738" width="15.1796875" style="4" customWidth="1"/>
    <col min="9739" max="9740" width="9.1796875" style="4"/>
    <col min="9741" max="9741" width="16.54296875" style="4" customWidth="1"/>
    <col min="9742" max="9744" width="9.1796875" style="4"/>
    <col min="9745" max="9745" width="21" style="4" customWidth="1"/>
    <col min="9746" max="9985" width="9.1796875" style="4"/>
    <col min="9986" max="9990" width="17.7265625" style="4" customWidth="1"/>
    <col min="9991" max="9991" width="14.54296875" style="4" customWidth="1"/>
    <col min="9992" max="9993" width="9.1796875" style="4"/>
    <col min="9994" max="9994" width="15.1796875" style="4" customWidth="1"/>
    <col min="9995" max="9996" width="9.1796875" style="4"/>
    <col min="9997" max="9997" width="16.54296875" style="4" customWidth="1"/>
    <col min="9998" max="10000" width="9.1796875" style="4"/>
    <col min="10001" max="10001" width="21" style="4" customWidth="1"/>
    <col min="10002" max="10241" width="9.1796875" style="4"/>
    <col min="10242" max="10246" width="17.7265625" style="4" customWidth="1"/>
    <col min="10247" max="10247" width="14.54296875" style="4" customWidth="1"/>
    <col min="10248" max="10249" width="9.1796875" style="4"/>
    <col min="10250" max="10250" width="15.1796875" style="4" customWidth="1"/>
    <col min="10251" max="10252" width="9.1796875" style="4"/>
    <col min="10253" max="10253" width="16.54296875" style="4" customWidth="1"/>
    <col min="10254" max="10256" width="9.1796875" style="4"/>
    <col min="10257" max="10257" width="21" style="4" customWidth="1"/>
    <col min="10258" max="10497" width="9.1796875" style="4"/>
    <col min="10498" max="10502" width="17.7265625" style="4" customWidth="1"/>
    <col min="10503" max="10503" width="14.54296875" style="4" customWidth="1"/>
    <col min="10504" max="10505" width="9.1796875" style="4"/>
    <col min="10506" max="10506" width="15.1796875" style="4" customWidth="1"/>
    <col min="10507" max="10508" width="9.1796875" style="4"/>
    <col min="10509" max="10509" width="16.54296875" style="4" customWidth="1"/>
    <col min="10510" max="10512" width="9.1796875" style="4"/>
    <col min="10513" max="10513" width="21" style="4" customWidth="1"/>
    <col min="10514" max="10753" width="9.1796875" style="4"/>
    <col min="10754" max="10758" width="17.7265625" style="4" customWidth="1"/>
    <col min="10759" max="10759" width="14.54296875" style="4" customWidth="1"/>
    <col min="10760" max="10761" width="9.1796875" style="4"/>
    <col min="10762" max="10762" width="15.1796875" style="4" customWidth="1"/>
    <col min="10763" max="10764" width="9.1796875" style="4"/>
    <col min="10765" max="10765" width="16.54296875" style="4" customWidth="1"/>
    <col min="10766" max="10768" width="9.1796875" style="4"/>
    <col min="10769" max="10769" width="21" style="4" customWidth="1"/>
    <col min="10770" max="11009" width="9.1796875" style="4"/>
    <col min="11010" max="11014" width="17.7265625" style="4" customWidth="1"/>
    <col min="11015" max="11015" width="14.54296875" style="4" customWidth="1"/>
    <col min="11016" max="11017" width="9.1796875" style="4"/>
    <col min="11018" max="11018" width="15.1796875" style="4" customWidth="1"/>
    <col min="11019" max="11020" width="9.1796875" style="4"/>
    <col min="11021" max="11021" width="16.54296875" style="4" customWidth="1"/>
    <col min="11022" max="11024" width="9.1796875" style="4"/>
    <col min="11025" max="11025" width="21" style="4" customWidth="1"/>
    <col min="11026" max="11265" width="9.1796875" style="4"/>
    <col min="11266" max="11270" width="17.7265625" style="4" customWidth="1"/>
    <col min="11271" max="11271" width="14.54296875" style="4" customWidth="1"/>
    <col min="11272" max="11273" width="9.1796875" style="4"/>
    <col min="11274" max="11274" width="15.1796875" style="4" customWidth="1"/>
    <col min="11275" max="11276" width="9.1796875" style="4"/>
    <col min="11277" max="11277" width="16.54296875" style="4" customWidth="1"/>
    <col min="11278" max="11280" width="9.1796875" style="4"/>
    <col min="11281" max="11281" width="21" style="4" customWidth="1"/>
    <col min="11282" max="11521" width="9.1796875" style="4"/>
    <col min="11522" max="11526" width="17.7265625" style="4" customWidth="1"/>
    <col min="11527" max="11527" width="14.54296875" style="4" customWidth="1"/>
    <col min="11528" max="11529" width="9.1796875" style="4"/>
    <col min="11530" max="11530" width="15.1796875" style="4" customWidth="1"/>
    <col min="11531" max="11532" width="9.1796875" style="4"/>
    <col min="11533" max="11533" width="16.54296875" style="4" customWidth="1"/>
    <col min="11534" max="11536" width="9.1796875" style="4"/>
    <col min="11537" max="11537" width="21" style="4" customWidth="1"/>
    <col min="11538" max="11777" width="9.1796875" style="4"/>
    <col min="11778" max="11782" width="17.7265625" style="4" customWidth="1"/>
    <col min="11783" max="11783" width="14.54296875" style="4" customWidth="1"/>
    <col min="11784" max="11785" width="9.1796875" style="4"/>
    <col min="11786" max="11786" width="15.1796875" style="4" customWidth="1"/>
    <col min="11787" max="11788" width="9.1796875" style="4"/>
    <col min="11789" max="11789" width="16.54296875" style="4" customWidth="1"/>
    <col min="11790" max="11792" width="9.1796875" style="4"/>
    <col min="11793" max="11793" width="21" style="4" customWidth="1"/>
    <col min="11794" max="12033" width="9.1796875" style="4"/>
    <col min="12034" max="12038" width="17.7265625" style="4" customWidth="1"/>
    <col min="12039" max="12039" width="14.54296875" style="4" customWidth="1"/>
    <col min="12040" max="12041" width="9.1796875" style="4"/>
    <col min="12042" max="12042" width="15.1796875" style="4" customWidth="1"/>
    <col min="12043" max="12044" width="9.1796875" style="4"/>
    <col min="12045" max="12045" width="16.54296875" style="4" customWidth="1"/>
    <col min="12046" max="12048" width="9.1796875" style="4"/>
    <col min="12049" max="12049" width="21" style="4" customWidth="1"/>
    <col min="12050" max="12289" width="9.1796875" style="4"/>
    <col min="12290" max="12294" width="17.7265625" style="4" customWidth="1"/>
    <col min="12295" max="12295" width="14.54296875" style="4" customWidth="1"/>
    <col min="12296" max="12297" width="9.1796875" style="4"/>
    <col min="12298" max="12298" width="15.1796875" style="4" customWidth="1"/>
    <col min="12299" max="12300" width="9.1796875" style="4"/>
    <col min="12301" max="12301" width="16.54296875" style="4" customWidth="1"/>
    <col min="12302" max="12304" width="9.1796875" style="4"/>
    <col min="12305" max="12305" width="21" style="4" customWidth="1"/>
    <col min="12306" max="12545" width="9.1796875" style="4"/>
    <col min="12546" max="12550" width="17.7265625" style="4" customWidth="1"/>
    <col min="12551" max="12551" width="14.54296875" style="4" customWidth="1"/>
    <col min="12552" max="12553" width="9.1796875" style="4"/>
    <col min="12554" max="12554" width="15.1796875" style="4" customWidth="1"/>
    <col min="12555" max="12556" width="9.1796875" style="4"/>
    <col min="12557" max="12557" width="16.54296875" style="4" customWidth="1"/>
    <col min="12558" max="12560" width="9.1796875" style="4"/>
    <col min="12561" max="12561" width="21" style="4" customWidth="1"/>
    <col min="12562" max="12801" width="9.1796875" style="4"/>
    <col min="12802" max="12806" width="17.7265625" style="4" customWidth="1"/>
    <col min="12807" max="12807" width="14.54296875" style="4" customWidth="1"/>
    <col min="12808" max="12809" width="9.1796875" style="4"/>
    <col min="12810" max="12810" width="15.1796875" style="4" customWidth="1"/>
    <col min="12811" max="12812" width="9.1796875" style="4"/>
    <col min="12813" max="12813" width="16.54296875" style="4" customWidth="1"/>
    <col min="12814" max="12816" width="9.1796875" style="4"/>
    <col min="12817" max="12817" width="21" style="4" customWidth="1"/>
    <col min="12818" max="13057" width="9.1796875" style="4"/>
    <col min="13058" max="13062" width="17.7265625" style="4" customWidth="1"/>
    <col min="13063" max="13063" width="14.54296875" style="4" customWidth="1"/>
    <col min="13064" max="13065" width="9.1796875" style="4"/>
    <col min="13066" max="13066" width="15.1796875" style="4" customWidth="1"/>
    <col min="13067" max="13068" width="9.1796875" style="4"/>
    <col min="13069" max="13069" width="16.54296875" style="4" customWidth="1"/>
    <col min="13070" max="13072" width="9.1796875" style="4"/>
    <col min="13073" max="13073" width="21" style="4" customWidth="1"/>
    <col min="13074" max="13313" width="9.1796875" style="4"/>
    <col min="13314" max="13318" width="17.7265625" style="4" customWidth="1"/>
    <col min="13319" max="13319" width="14.54296875" style="4" customWidth="1"/>
    <col min="13320" max="13321" width="9.1796875" style="4"/>
    <col min="13322" max="13322" width="15.1796875" style="4" customWidth="1"/>
    <col min="13323" max="13324" width="9.1796875" style="4"/>
    <col min="13325" max="13325" width="16.54296875" style="4" customWidth="1"/>
    <col min="13326" max="13328" width="9.1796875" style="4"/>
    <col min="13329" max="13329" width="21" style="4" customWidth="1"/>
    <col min="13330" max="13569" width="9.1796875" style="4"/>
    <col min="13570" max="13574" width="17.7265625" style="4" customWidth="1"/>
    <col min="13575" max="13575" width="14.54296875" style="4" customWidth="1"/>
    <col min="13576" max="13577" width="9.1796875" style="4"/>
    <col min="13578" max="13578" width="15.1796875" style="4" customWidth="1"/>
    <col min="13579" max="13580" width="9.1796875" style="4"/>
    <col min="13581" max="13581" width="16.54296875" style="4" customWidth="1"/>
    <col min="13582" max="13584" width="9.1796875" style="4"/>
    <col min="13585" max="13585" width="21" style="4" customWidth="1"/>
    <col min="13586" max="13825" width="9.1796875" style="4"/>
    <col min="13826" max="13830" width="17.7265625" style="4" customWidth="1"/>
    <col min="13831" max="13831" width="14.54296875" style="4" customWidth="1"/>
    <col min="13832" max="13833" width="9.1796875" style="4"/>
    <col min="13834" max="13834" width="15.1796875" style="4" customWidth="1"/>
    <col min="13835" max="13836" width="9.1796875" style="4"/>
    <col min="13837" max="13837" width="16.54296875" style="4" customWidth="1"/>
    <col min="13838" max="13840" width="9.1796875" style="4"/>
    <col min="13841" max="13841" width="21" style="4" customWidth="1"/>
    <col min="13842" max="14081" width="9.1796875" style="4"/>
    <col min="14082" max="14086" width="17.7265625" style="4" customWidth="1"/>
    <col min="14087" max="14087" width="14.54296875" style="4" customWidth="1"/>
    <col min="14088" max="14089" width="9.1796875" style="4"/>
    <col min="14090" max="14090" width="15.1796875" style="4" customWidth="1"/>
    <col min="14091" max="14092" width="9.1796875" style="4"/>
    <col min="14093" max="14093" width="16.54296875" style="4" customWidth="1"/>
    <col min="14094" max="14096" width="9.1796875" style="4"/>
    <col min="14097" max="14097" width="21" style="4" customWidth="1"/>
    <col min="14098" max="14337" width="9.1796875" style="4"/>
    <col min="14338" max="14342" width="17.7265625" style="4" customWidth="1"/>
    <col min="14343" max="14343" width="14.54296875" style="4" customWidth="1"/>
    <col min="14344" max="14345" width="9.1796875" style="4"/>
    <col min="14346" max="14346" width="15.1796875" style="4" customWidth="1"/>
    <col min="14347" max="14348" width="9.1796875" style="4"/>
    <col min="14349" max="14349" width="16.54296875" style="4" customWidth="1"/>
    <col min="14350" max="14352" width="9.1796875" style="4"/>
    <col min="14353" max="14353" width="21" style="4" customWidth="1"/>
    <col min="14354" max="14593" width="9.1796875" style="4"/>
    <col min="14594" max="14598" width="17.7265625" style="4" customWidth="1"/>
    <col min="14599" max="14599" width="14.54296875" style="4" customWidth="1"/>
    <col min="14600" max="14601" width="9.1796875" style="4"/>
    <col min="14602" max="14602" width="15.1796875" style="4" customWidth="1"/>
    <col min="14603" max="14604" width="9.1796875" style="4"/>
    <col min="14605" max="14605" width="16.54296875" style="4" customWidth="1"/>
    <col min="14606" max="14608" width="9.1796875" style="4"/>
    <col min="14609" max="14609" width="21" style="4" customWidth="1"/>
    <col min="14610" max="14849" width="9.1796875" style="4"/>
    <col min="14850" max="14854" width="17.7265625" style="4" customWidth="1"/>
    <col min="14855" max="14855" width="14.54296875" style="4" customWidth="1"/>
    <col min="14856" max="14857" width="9.1796875" style="4"/>
    <col min="14858" max="14858" width="15.1796875" style="4" customWidth="1"/>
    <col min="14859" max="14860" width="9.1796875" style="4"/>
    <col min="14861" max="14861" width="16.54296875" style="4" customWidth="1"/>
    <col min="14862" max="14864" width="9.1796875" style="4"/>
    <col min="14865" max="14865" width="21" style="4" customWidth="1"/>
    <col min="14866" max="15105" width="9.1796875" style="4"/>
    <col min="15106" max="15110" width="17.7265625" style="4" customWidth="1"/>
    <col min="15111" max="15111" width="14.54296875" style="4" customWidth="1"/>
    <col min="15112" max="15113" width="9.1796875" style="4"/>
    <col min="15114" max="15114" width="15.1796875" style="4" customWidth="1"/>
    <col min="15115" max="15116" width="9.1796875" style="4"/>
    <col min="15117" max="15117" width="16.54296875" style="4" customWidth="1"/>
    <col min="15118" max="15120" width="9.1796875" style="4"/>
    <col min="15121" max="15121" width="21" style="4" customWidth="1"/>
    <col min="15122" max="15361" width="9.1796875" style="4"/>
    <col min="15362" max="15366" width="17.7265625" style="4" customWidth="1"/>
    <col min="15367" max="15367" width="14.54296875" style="4" customWidth="1"/>
    <col min="15368" max="15369" width="9.1796875" style="4"/>
    <col min="15370" max="15370" width="15.1796875" style="4" customWidth="1"/>
    <col min="15371" max="15372" width="9.1796875" style="4"/>
    <col min="15373" max="15373" width="16.54296875" style="4" customWidth="1"/>
    <col min="15374" max="15376" width="9.1796875" style="4"/>
    <col min="15377" max="15377" width="21" style="4" customWidth="1"/>
    <col min="15378" max="15617" width="9.1796875" style="4"/>
    <col min="15618" max="15622" width="17.7265625" style="4" customWidth="1"/>
    <col min="15623" max="15623" width="14.54296875" style="4" customWidth="1"/>
    <col min="15624" max="15625" width="9.1796875" style="4"/>
    <col min="15626" max="15626" width="15.1796875" style="4" customWidth="1"/>
    <col min="15627" max="15628" width="9.1796875" style="4"/>
    <col min="15629" max="15629" width="16.54296875" style="4" customWidth="1"/>
    <col min="15630" max="15632" width="9.1796875" style="4"/>
    <col min="15633" max="15633" width="21" style="4" customWidth="1"/>
    <col min="15634" max="15873" width="9.1796875" style="4"/>
    <col min="15874" max="15878" width="17.7265625" style="4" customWidth="1"/>
    <col min="15879" max="15879" width="14.54296875" style="4" customWidth="1"/>
    <col min="15880" max="15881" width="9.1796875" style="4"/>
    <col min="15882" max="15882" width="15.1796875" style="4" customWidth="1"/>
    <col min="15883" max="15884" width="9.1796875" style="4"/>
    <col min="15885" max="15885" width="16.54296875" style="4" customWidth="1"/>
    <col min="15886" max="15888" width="9.1796875" style="4"/>
    <col min="15889" max="15889" width="21" style="4" customWidth="1"/>
    <col min="15890" max="16129" width="9.1796875" style="4"/>
    <col min="16130" max="16134" width="17.7265625" style="4" customWidth="1"/>
    <col min="16135" max="16135" width="14.54296875" style="4" customWidth="1"/>
    <col min="16136" max="16137" width="9.1796875" style="4"/>
    <col min="16138" max="16138" width="15.1796875" style="4" customWidth="1"/>
    <col min="16139" max="16140" width="9.1796875" style="4"/>
    <col min="16141" max="16141" width="16.54296875" style="4" customWidth="1"/>
    <col min="16142" max="16144" width="9.1796875" style="4"/>
    <col min="16145" max="16145" width="21" style="4" customWidth="1"/>
    <col min="16146" max="16384" width="9.1796875" style="4"/>
  </cols>
  <sheetData>
    <row r="1" spans="1:18" ht="15.75" customHeight="1" x14ac:dyDescent="0.3">
      <c r="A1" s="68" t="s">
        <v>97</v>
      </c>
      <c r="B1" s="68"/>
      <c r="C1" s="68"/>
      <c r="D1" s="68"/>
      <c r="E1" s="68"/>
      <c r="F1" s="68"/>
    </row>
    <row r="2" spans="1:18" ht="13" x14ac:dyDescent="0.3">
      <c r="A2" s="26"/>
      <c r="B2" s="51" t="s">
        <v>0</v>
      </c>
      <c r="C2" s="42" t="s">
        <v>1</v>
      </c>
      <c r="D2" s="42" t="s">
        <v>2</v>
      </c>
      <c r="E2" s="42" t="s">
        <v>95</v>
      </c>
      <c r="F2" s="43" t="s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2" t="s">
        <v>4</v>
      </c>
      <c r="B3" s="65">
        <v>0</v>
      </c>
      <c r="C3" s="19">
        <v>17232550</v>
      </c>
      <c r="D3" s="19">
        <v>77357962</v>
      </c>
      <c r="E3" s="19">
        <v>336910501</v>
      </c>
      <c r="F3" s="19">
        <f t="shared" ref="F3:F10" si="0">SUM(B3:E3)</f>
        <v>431501013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" t="s">
        <v>5</v>
      </c>
      <c r="B4" s="65">
        <v>883</v>
      </c>
      <c r="C4" s="19">
        <v>5607725</v>
      </c>
      <c r="D4" s="19">
        <v>3566774</v>
      </c>
      <c r="E4" s="19">
        <v>754585027</v>
      </c>
      <c r="F4" s="19">
        <f t="shared" si="0"/>
        <v>763760409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3" x14ac:dyDescent="0.3">
      <c r="A5" s="2" t="s">
        <v>6</v>
      </c>
      <c r="B5" s="65">
        <v>72772119</v>
      </c>
      <c r="C5" s="19">
        <v>99380800</v>
      </c>
      <c r="D5" s="19">
        <v>1260074233</v>
      </c>
      <c r="E5" s="28">
        <v>2274767708</v>
      </c>
      <c r="F5" s="19">
        <f t="shared" si="0"/>
        <v>3706994860</v>
      </c>
      <c r="G5" s="44"/>
      <c r="H5" s="6"/>
      <c r="I5" s="6"/>
      <c r="J5" s="5"/>
      <c r="K5" s="6"/>
      <c r="L5" s="6"/>
      <c r="M5" s="5"/>
      <c r="N5" s="6"/>
      <c r="O5" s="6"/>
      <c r="P5" s="1"/>
      <c r="Q5" s="1"/>
      <c r="R5" s="7"/>
    </row>
    <row r="6" spans="1:18" ht="13" x14ac:dyDescent="0.3">
      <c r="A6" s="2" t="s">
        <v>7</v>
      </c>
      <c r="B6" s="65">
        <v>0</v>
      </c>
      <c r="C6" s="19">
        <v>197976928</v>
      </c>
      <c r="D6" s="4">
        <v>0</v>
      </c>
      <c r="E6" s="28">
        <v>0</v>
      </c>
      <c r="F6" s="19">
        <f t="shared" si="0"/>
        <v>197976928</v>
      </c>
      <c r="G6" s="44"/>
      <c r="H6" s="6"/>
      <c r="I6" s="6"/>
      <c r="J6" s="5"/>
      <c r="K6" s="6"/>
      <c r="L6" s="6"/>
      <c r="M6" s="5"/>
      <c r="N6" s="6"/>
      <c r="O6" s="6"/>
      <c r="P6" s="1"/>
      <c r="Q6" s="1"/>
      <c r="R6" s="7"/>
    </row>
    <row r="7" spans="1:18" ht="12.75" customHeight="1" x14ac:dyDescent="0.3">
      <c r="A7" s="2" t="s">
        <v>8</v>
      </c>
      <c r="B7" s="65">
        <v>0</v>
      </c>
      <c r="C7" s="19">
        <v>2845469</v>
      </c>
      <c r="D7" s="19">
        <v>216543</v>
      </c>
      <c r="E7" s="28">
        <v>0</v>
      </c>
      <c r="F7" s="19">
        <f t="shared" si="0"/>
        <v>3062012</v>
      </c>
      <c r="G7" s="44"/>
      <c r="H7" s="6"/>
      <c r="I7" s="6"/>
      <c r="J7" s="5"/>
      <c r="K7" s="6"/>
      <c r="L7" s="6"/>
      <c r="M7" s="5"/>
      <c r="N7" s="6"/>
      <c r="O7" s="6"/>
      <c r="P7" s="1"/>
      <c r="Q7" s="1"/>
      <c r="R7" s="7"/>
    </row>
    <row r="8" spans="1:18" ht="13" x14ac:dyDescent="0.3">
      <c r="A8" s="2" t="s">
        <v>9</v>
      </c>
      <c r="B8" s="65">
        <v>0</v>
      </c>
      <c r="C8" s="19">
        <v>0</v>
      </c>
      <c r="D8" s="19">
        <v>2968708816</v>
      </c>
      <c r="E8" s="28">
        <v>0</v>
      </c>
      <c r="F8" s="19">
        <f t="shared" si="0"/>
        <v>2968708816</v>
      </c>
      <c r="G8" s="44"/>
      <c r="H8" s="6"/>
      <c r="I8" s="6"/>
      <c r="J8" s="5"/>
      <c r="K8" s="6"/>
      <c r="L8" s="6"/>
      <c r="M8" s="5"/>
      <c r="N8" s="6"/>
      <c r="O8" s="6"/>
      <c r="P8" s="1"/>
      <c r="Q8" s="1"/>
      <c r="R8" s="7"/>
    </row>
    <row r="9" spans="1:18" ht="13" x14ac:dyDescent="0.3">
      <c r="A9" s="2" t="s">
        <v>10</v>
      </c>
      <c r="B9" s="65">
        <v>0</v>
      </c>
      <c r="C9" s="19">
        <v>0</v>
      </c>
      <c r="D9" s="19">
        <v>6279002334</v>
      </c>
      <c r="E9" s="28">
        <v>0</v>
      </c>
      <c r="F9" s="19">
        <f t="shared" si="0"/>
        <v>6279002334</v>
      </c>
      <c r="G9" s="44"/>
      <c r="H9" s="6"/>
      <c r="I9" s="6"/>
      <c r="J9" s="5"/>
      <c r="K9" s="6"/>
      <c r="L9" s="6"/>
      <c r="M9" s="5"/>
      <c r="N9" s="6"/>
      <c r="O9" s="6"/>
      <c r="P9" s="1"/>
      <c r="Q9" s="1"/>
      <c r="R9" s="7"/>
    </row>
    <row r="10" spans="1:18" ht="13" x14ac:dyDescent="0.3">
      <c r="A10" s="56" t="s">
        <v>11</v>
      </c>
      <c r="B10" s="65">
        <v>0</v>
      </c>
      <c r="C10" s="19">
        <v>0</v>
      </c>
      <c r="D10" s="19">
        <v>8858954762</v>
      </c>
      <c r="E10" s="28">
        <v>0</v>
      </c>
      <c r="F10" s="19">
        <f t="shared" si="0"/>
        <v>8858954762</v>
      </c>
      <c r="G10" s="44"/>
      <c r="H10" s="6"/>
      <c r="I10" s="6"/>
      <c r="J10" s="5"/>
      <c r="K10" s="6"/>
      <c r="L10" s="6"/>
      <c r="M10" s="5"/>
      <c r="N10" s="6"/>
      <c r="O10" s="6"/>
      <c r="P10" s="1"/>
      <c r="Q10" s="1"/>
      <c r="R10" s="7"/>
    </row>
    <row r="11" spans="1:18" ht="13" x14ac:dyDescent="0.3">
      <c r="A11" s="3" t="s">
        <v>16</v>
      </c>
      <c r="B11" s="29">
        <f>SUM(B3:B10)</f>
        <v>72773002</v>
      </c>
      <c r="C11" s="29">
        <f t="shared" ref="C11" si="1">SUM(C3:C10)</f>
        <v>323043472</v>
      </c>
      <c r="D11" s="29">
        <f>SUM(D3:D10)</f>
        <v>19447881424</v>
      </c>
      <c r="E11" s="29">
        <f>SUM(E3:E10)</f>
        <v>3366263236</v>
      </c>
      <c r="F11" s="29">
        <f>SUM(F3:F10)</f>
        <v>23209961134</v>
      </c>
      <c r="H11" s="8"/>
      <c r="I11" s="8"/>
      <c r="K11" s="8"/>
      <c r="L11" s="8"/>
      <c r="N11" s="8"/>
      <c r="O11" s="8"/>
      <c r="P11" s="1"/>
      <c r="R11" s="1"/>
    </row>
    <row r="12" spans="1:18" x14ac:dyDescent="0.25">
      <c r="B12" s="9"/>
      <c r="C12" s="9"/>
      <c r="D12" s="9"/>
      <c r="E12" s="9"/>
      <c r="F12" s="9"/>
      <c r="H12" s="8"/>
      <c r="I12" s="8"/>
      <c r="K12" s="8"/>
      <c r="L12" s="8"/>
      <c r="N12" s="8"/>
      <c r="O12" s="8"/>
      <c r="P12" s="1"/>
      <c r="R12" s="1"/>
    </row>
    <row r="13" spans="1:18" x14ac:dyDescent="0.25">
      <c r="B13" s="9"/>
      <c r="C13" s="9"/>
      <c r="D13" s="9"/>
      <c r="E13" s="9"/>
      <c r="F13" s="9"/>
      <c r="H13" s="8"/>
      <c r="I13" s="8"/>
      <c r="K13" s="8"/>
      <c r="L13" s="8"/>
      <c r="N13" s="8"/>
      <c r="O13" s="8"/>
      <c r="P13" s="1"/>
      <c r="R13" s="1"/>
    </row>
    <row r="14" spans="1:18" x14ac:dyDescent="0.25">
      <c r="B14" s="1"/>
      <c r="C14" s="1"/>
      <c r="D14" s="1"/>
      <c r="E14" s="1"/>
      <c r="F14" s="1"/>
      <c r="H14" s="8"/>
      <c r="I14" s="8"/>
      <c r="K14" s="8"/>
      <c r="L14" s="8"/>
      <c r="N14" s="8"/>
      <c r="O14" s="8"/>
      <c r="P14" s="1"/>
      <c r="R14" s="1"/>
    </row>
    <row r="15" spans="1:18" x14ac:dyDescent="0.25">
      <c r="A15" s="1"/>
      <c r="B15" s="1"/>
      <c r="C15" s="1"/>
      <c r="D15" s="1"/>
      <c r="E15" s="1"/>
      <c r="F15" s="1"/>
      <c r="G15" s="8"/>
      <c r="H15" s="8"/>
      <c r="I15" s="8"/>
      <c r="J15" s="8"/>
      <c r="K15" s="8"/>
      <c r="L15" s="8"/>
      <c r="M15" s="8"/>
      <c r="N15" s="8"/>
      <c r="O15" s="8"/>
      <c r="P15" s="1"/>
      <c r="Q15" s="8"/>
      <c r="R15" s="1"/>
    </row>
    <row r="16" spans="1:18" ht="13" x14ac:dyDescent="0.3">
      <c r="A16" s="64" t="s">
        <v>98</v>
      </c>
    </row>
    <row r="17" spans="1:6" ht="13" x14ac:dyDescent="0.3">
      <c r="A17" s="26"/>
      <c r="B17" s="51" t="s">
        <v>0</v>
      </c>
      <c r="C17" s="42" t="s">
        <v>1</v>
      </c>
      <c r="D17" s="42" t="s">
        <v>2</v>
      </c>
      <c r="E17" s="42" t="s">
        <v>95</v>
      </c>
      <c r="F17" s="43" t="s">
        <v>3</v>
      </c>
    </row>
    <row r="18" spans="1:6" x14ac:dyDescent="0.25">
      <c r="A18" s="2" t="s">
        <v>4</v>
      </c>
      <c r="B18" s="19">
        <v>0</v>
      </c>
      <c r="C18" s="19">
        <v>0</v>
      </c>
      <c r="D18" s="19">
        <v>22493</v>
      </c>
      <c r="E18" s="19">
        <v>0</v>
      </c>
      <c r="F18" s="19">
        <f t="shared" ref="F18:F25" si="2">SUM(B18:E18)</f>
        <v>22493</v>
      </c>
    </row>
    <row r="19" spans="1:6" x14ac:dyDescent="0.25">
      <c r="A19" s="2" t="s">
        <v>5</v>
      </c>
      <c r="B19" s="19">
        <v>2675394</v>
      </c>
      <c r="C19" s="19">
        <v>4993642</v>
      </c>
      <c r="D19" s="19">
        <v>23206792</v>
      </c>
      <c r="E19" s="19">
        <v>8913852</v>
      </c>
      <c r="F19" s="19">
        <f t="shared" si="2"/>
        <v>39789680</v>
      </c>
    </row>
    <row r="20" spans="1:6" x14ac:dyDescent="0.25">
      <c r="A20" s="2" t="s">
        <v>6</v>
      </c>
      <c r="B20" s="19">
        <v>32469600</v>
      </c>
      <c r="C20" s="28">
        <v>32195196</v>
      </c>
      <c r="D20" s="19">
        <v>27398565</v>
      </c>
      <c r="E20" s="28">
        <v>1824370019</v>
      </c>
      <c r="F20" s="19">
        <f t="shared" si="2"/>
        <v>1916433380</v>
      </c>
    </row>
    <row r="21" spans="1:6" x14ac:dyDescent="0.25">
      <c r="A21" s="2" t="s">
        <v>7</v>
      </c>
      <c r="B21" s="19">
        <v>0</v>
      </c>
      <c r="C21" s="19">
        <v>60125080</v>
      </c>
      <c r="D21" s="4">
        <v>0</v>
      </c>
      <c r="E21" s="28">
        <v>0</v>
      </c>
      <c r="F21" s="19">
        <f t="shared" si="2"/>
        <v>60125080</v>
      </c>
    </row>
    <row r="22" spans="1:6" x14ac:dyDescent="0.25">
      <c r="A22" s="2" t="s">
        <v>8</v>
      </c>
      <c r="B22" s="19">
        <v>0</v>
      </c>
      <c r="C22" s="19">
        <v>2323196</v>
      </c>
      <c r="D22" s="19">
        <v>417632</v>
      </c>
      <c r="E22" s="28">
        <v>0</v>
      </c>
      <c r="F22" s="19">
        <f t="shared" si="2"/>
        <v>2740828</v>
      </c>
    </row>
    <row r="23" spans="1:6" x14ac:dyDescent="0.25">
      <c r="A23" s="2" t="s">
        <v>9</v>
      </c>
      <c r="B23" s="19">
        <v>0</v>
      </c>
      <c r="C23" s="19">
        <v>0</v>
      </c>
      <c r="D23" s="19">
        <v>45852148</v>
      </c>
      <c r="E23" s="28">
        <v>0</v>
      </c>
      <c r="F23" s="19">
        <f t="shared" si="2"/>
        <v>45852148</v>
      </c>
    </row>
    <row r="24" spans="1:6" x14ac:dyDescent="0.25">
      <c r="A24" s="2" t="s">
        <v>10</v>
      </c>
      <c r="B24" s="19">
        <v>0</v>
      </c>
      <c r="C24" s="19">
        <v>0</v>
      </c>
      <c r="D24" s="19">
        <v>6871386290</v>
      </c>
      <c r="E24" s="28">
        <v>0</v>
      </c>
      <c r="F24" s="19">
        <f t="shared" si="2"/>
        <v>6871386290</v>
      </c>
    </row>
    <row r="25" spans="1:6" x14ac:dyDescent="0.25">
      <c r="A25" s="56" t="s">
        <v>11</v>
      </c>
      <c r="B25" s="19">
        <v>0</v>
      </c>
      <c r="C25" s="19">
        <v>0</v>
      </c>
      <c r="D25" s="19">
        <v>159776407</v>
      </c>
      <c r="E25" s="28">
        <v>0</v>
      </c>
      <c r="F25" s="19">
        <f t="shared" si="2"/>
        <v>159776407</v>
      </c>
    </row>
    <row r="26" spans="1:6" ht="13" x14ac:dyDescent="0.3">
      <c r="A26" s="3" t="s">
        <v>16</v>
      </c>
      <c r="B26" s="29">
        <f>SUM(B18:B25)</f>
        <v>35144994</v>
      </c>
      <c r="C26" s="29">
        <f t="shared" ref="C26:E26" si="3">SUM(C18:C25)</f>
        <v>99637114</v>
      </c>
      <c r="D26" s="29">
        <f>SUM(D18:D25)</f>
        <v>7128060327</v>
      </c>
      <c r="E26" s="29">
        <f t="shared" si="3"/>
        <v>1833283871</v>
      </c>
      <c r="F26" s="29">
        <f>SUM(F18:F25)</f>
        <v>9096126306</v>
      </c>
    </row>
    <row r="30" spans="1:6" x14ac:dyDescent="0.25">
      <c r="B30" s="52"/>
    </row>
  </sheetData>
  <mergeCells count="1">
    <mergeCell ref="A1:F1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71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14" sqref="K14"/>
    </sheetView>
  </sheetViews>
  <sheetFormatPr defaultRowHeight="12.5" x14ac:dyDescent="0.25"/>
  <cols>
    <col min="1" max="1" width="17.26953125" style="4" customWidth="1"/>
    <col min="2" max="2" width="16.54296875" style="4" customWidth="1"/>
    <col min="3" max="3" width="14.81640625" style="4" bestFit="1" customWidth="1"/>
    <col min="4" max="4" width="13.7265625" style="4" customWidth="1"/>
    <col min="5" max="5" width="15.81640625" style="4" customWidth="1"/>
    <col min="6" max="8" width="13.7265625" style="4" customWidth="1"/>
    <col min="9" max="9" width="16.7265625" style="4" customWidth="1"/>
    <col min="10" max="10" width="9.1796875" style="4"/>
    <col min="11" max="11" width="13.54296875" style="4" customWidth="1"/>
    <col min="12" max="12" width="9.1796875" style="4"/>
    <col min="13" max="13" width="11.26953125" style="4" bestFit="1" customWidth="1"/>
    <col min="14" max="254" width="9.1796875" style="4"/>
    <col min="255" max="255" width="17.26953125" style="4" customWidth="1"/>
    <col min="256" max="260" width="13.7265625" style="4" customWidth="1"/>
    <col min="261" max="261" width="15" style="4" customWidth="1"/>
    <col min="262" max="264" width="13.7265625" style="4" customWidth="1"/>
    <col min="265" max="265" width="16.7265625" style="4" customWidth="1"/>
    <col min="266" max="266" width="9.1796875" style="4"/>
    <col min="267" max="267" width="13.54296875" style="4" customWidth="1"/>
    <col min="268" max="510" width="9.1796875" style="4"/>
    <col min="511" max="511" width="17.26953125" style="4" customWidth="1"/>
    <col min="512" max="516" width="13.7265625" style="4" customWidth="1"/>
    <col min="517" max="517" width="15" style="4" customWidth="1"/>
    <col min="518" max="520" width="13.7265625" style="4" customWidth="1"/>
    <col min="521" max="521" width="16.7265625" style="4" customWidth="1"/>
    <col min="522" max="522" width="9.1796875" style="4"/>
    <col min="523" max="523" width="13.54296875" style="4" customWidth="1"/>
    <col min="524" max="766" width="9.1796875" style="4"/>
    <col min="767" max="767" width="17.26953125" style="4" customWidth="1"/>
    <col min="768" max="772" width="13.7265625" style="4" customWidth="1"/>
    <col min="773" max="773" width="15" style="4" customWidth="1"/>
    <col min="774" max="776" width="13.7265625" style="4" customWidth="1"/>
    <col min="777" max="777" width="16.7265625" style="4" customWidth="1"/>
    <col min="778" max="778" width="9.1796875" style="4"/>
    <col min="779" max="779" width="13.54296875" style="4" customWidth="1"/>
    <col min="780" max="1022" width="9.1796875" style="4"/>
    <col min="1023" max="1023" width="17.26953125" style="4" customWidth="1"/>
    <col min="1024" max="1028" width="13.7265625" style="4" customWidth="1"/>
    <col min="1029" max="1029" width="15" style="4" customWidth="1"/>
    <col min="1030" max="1032" width="13.7265625" style="4" customWidth="1"/>
    <col min="1033" max="1033" width="16.7265625" style="4" customWidth="1"/>
    <col min="1034" max="1034" width="9.1796875" style="4"/>
    <col min="1035" max="1035" width="13.54296875" style="4" customWidth="1"/>
    <col min="1036" max="1278" width="9.1796875" style="4"/>
    <col min="1279" max="1279" width="17.26953125" style="4" customWidth="1"/>
    <col min="1280" max="1284" width="13.7265625" style="4" customWidth="1"/>
    <col min="1285" max="1285" width="15" style="4" customWidth="1"/>
    <col min="1286" max="1288" width="13.7265625" style="4" customWidth="1"/>
    <col min="1289" max="1289" width="16.7265625" style="4" customWidth="1"/>
    <col min="1290" max="1290" width="9.1796875" style="4"/>
    <col min="1291" max="1291" width="13.54296875" style="4" customWidth="1"/>
    <col min="1292" max="1534" width="9.1796875" style="4"/>
    <col min="1535" max="1535" width="17.26953125" style="4" customWidth="1"/>
    <col min="1536" max="1540" width="13.7265625" style="4" customWidth="1"/>
    <col min="1541" max="1541" width="15" style="4" customWidth="1"/>
    <col min="1542" max="1544" width="13.7265625" style="4" customWidth="1"/>
    <col min="1545" max="1545" width="16.7265625" style="4" customWidth="1"/>
    <col min="1546" max="1546" width="9.1796875" style="4"/>
    <col min="1547" max="1547" width="13.54296875" style="4" customWidth="1"/>
    <col min="1548" max="1790" width="9.1796875" style="4"/>
    <col min="1791" max="1791" width="17.26953125" style="4" customWidth="1"/>
    <col min="1792" max="1796" width="13.7265625" style="4" customWidth="1"/>
    <col min="1797" max="1797" width="15" style="4" customWidth="1"/>
    <col min="1798" max="1800" width="13.7265625" style="4" customWidth="1"/>
    <col min="1801" max="1801" width="16.7265625" style="4" customWidth="1"/>
    <col min="1802" max="1802" width="9.1796875" style="4"/>
    <col min="1803" max="1803" width="13.54296875" style="4" customWidth="1"/>
    <col min="1804" max="2046" width="9.1796875" style="4"/>
    <col min="2047" max="2047" width="17.26953125" style="4" customWidth="1"/>
    <col min="2048" max="2052" width="13.7265625" style="4" customWidth="1"/>
    <col min="2053" max="2053" width="15" style="4" customWidth="1"/>
    <col min="2054" max="2056" width="13.7265625" style="4" customWidth="1"/>
    <col min="2057" max="2057" width="16.7265625" style="4" customWidth="1"/>
    <col min="2058" max="2058" width="9.1796875" style="4"/>
    <col min="2059" max="2059" width="13.54296875" style="4" customWidth="1"/>
    <col min="2060" max="2302" width="9.1796875" style="4"/>
    <col min="2303" max="2303" width="17.26953125" style="4" customWidth="1"/>
    <col min="2304" max="2308" width="13.7265625" style="4" customWidth="1"/>
    <col min="2309" max="2309" width="15" style="4" customWidth="1"/>
    <col min="2310" max="2312" width="13.7265625" style="4" customWidth="1"/>
    <col min="2313" max="2313" width="16.7265625" style="4" customWidth="1"/>
    <col min="2314" max="2314" width="9.1796875" style="4"/>
    <col min="2315" max="2315" width="13.54296875" style="4" customWidth="1"/>
    <col min="2316" max="2558" width="9.1796875" style="4"/>
    <col min="2559" max="2559" width="17.26953125" style="4" customWidth="1"/>
    <col min="2560" max="2564" width="13.7265625" style="4" customWidth="1"/>
    <col min="2565" max="2565" width="15" style="4" customWidth="1"/>
    <col min="2566" max="2568" width="13.7265625" style="4" customWidth="1"/>
    <col min="2569" max="2569" width="16.7265625" style="4" customWidth="1"/>
    <col min="2570" max="2570" width="9.1796875" style="4"/>
    <col min="2571" max="2571" width="13.54296875" style="4" customWidth="1"/>
    <col min="2572" max="2814" width="9.1796875" style="4"/>
    <col min="2815" max="2815" width="17.26953125" style="4" customWidth="1"/>
    <col min="2816" max="2820" width="13.7265625" style="4" customWidth="1"/>
    <col min="2821" max="2821" width="15" style="4" customWidth="1"/>
    <col min="2822" max="2824" width="13.7265625" style="4" customWidth="1"/>
    <col min="2825" max="2825" width="16.7265625" style="4" customWidth="1"/>
    <col min="2826" max="2826" width="9.1796875" style="4"/>
    <col min="2827" max="2827" width="13.54296875" style="4" customWidth="1"/>
    <col min="2828" max="3070" width="9.1796875" style="4"/>
    <col min="3071" max="3071" width="17.26953125" style="4" customWidth="1"/>
    <col min="3072" max="3076" width="13.7265625" style="4" customWidth="1"/>
    <col min="3077" max="3077" width="15" style="4" customWidth="1"/>
    <col min="3078" max="3080" width="13.7265625" style="4" customWidth="1"/>
    <col min="3081" max="3081" width="16.7265625" style="4" customWidth="1"/>
    <col min="3082" max="3082" width="9.1796875" style="4"/>
    <col min="3083" max="3083" width="13.54296875" style="4" customWidth="1"/>
    <col min="3084" max="3326" width="9.1796875" style="4"/>
    <col min="3327" max="3327" width="17.26953125" style="4" customWidth="1"/>
    <col min="3328" max="3332" width="13.7265625" style="4" customWidth="1"/>
    <col min="3333" max="3333" width="15" style="4" customWidth="1"/>
    <col min="3334" max="3336" width="13.7265625" style="4" customWidth="1"/>
    <col min="3337" max="3337" width="16.7265625" style="4" customWidth="1"/>
    <col min="3338" max="3338" width="9.1796875" style="4"/>
    <col min="3339" max="3339" width="13.54296875" style="4" customWidth="1"/>
    <col min="3340" max="3582" width="9.1796875" style="4"/>
    <col min="3583" max="3583" width="17.26953125" style="4" customWidth="1"/>
    <col min="3584" max="3588" width="13.7265625" style="4" customWidth="1"/>
    <col min="3589" max="3589" width="15" style="4" customWidth="1"/>
    <col min="3590" max="3592" width="13.7265625" style="4" customWidth="1"/>
    <col min="3593" max="3593" width="16.7265625" style="4" customWidth="1"/>
    <col min="3594" max="3594" width="9.1796875" style="4"/>
    <col min="3595" max="3595" width="13.54296875" style="4" customWidth="1"/>
    <col min="3596" max="3838" width="9.1796875" style="4"/>
    <col min="3839" max="3839" width="17.26953125" style="4" customWidth="1"/>
    <col min="3840" max="3844" width="13.7265625" style="4" customWidth="1"/>
    <col min="3845" max="3845" width="15" style="4" customWidth="1"/>
    <col min="3846" max="3848" width="13.7265625" style="4" customWidth="1"/>
    <col min="3849" max="3849" width="16.7265625" style="4" customWidth="1"/>
    <col min="3850" max="3850" width="9.1796875" style="4"/>
    <col min="3851" max="3851" width="13.54296875" style="4" customWidth="1"/>
    <col min="3852" max="4094" width="9.1796875" style="4"/>
    <col min="4095" max="4095" width="17.26953125" style="4" customWidth="1"/>
    <col min="4096" max="4100" width="13.7265625" style="4" customWidth="1"/>
    <col min="4101" max="4101" width="15" style="4" customWidth="1"/>
    <col min="4102" max="4104" width="13.7265625" style="4" customWidth="1"/>
    <col min="4105" max="4105" width="16.7265625" style="4" customWidth="1"/>
    <col min="4106" max="4106" width="9.1796875" style="4"/>
    <col min="4107" max="4107" width="13.54296875" style="4" customWidth="1"/>
    <col min="4108" max="4350" width="9.1796875" style="4"/>
    <col min="4351" max="4351" width="17.26953125" style="4" customWidth="1"/>
    <col min="4352" max="4356" width="13.7265625" style="4" customWidth="1"/>
    <col min="4357" max="4357" width="15" style="4" customWidth="1"/>
    <col min="4358" max="4360" width="13.7265625" style="4" customWidth="1"/>
    <col min="4361" max="4361" width="16.7265625" style="4" customWidth="1"/>
    <col min="4362" max="4362" width="9.1796875" style="4"/>
    <col min="4363" max="4363" width="13.54296875" style="4" customWidth="1"/>
    <col min="4364" max="4606" width="9.1796875" style="4"/>
    <col min="4607" max="4607" width="17.26953125" style="4" customWidth="1"/>
    <col min="4608" max="4612" width="13.7265625" style="4" customWidth="1"/>
    <col min="4613" max="4613" width="15" style="4" customWidth="1"/>
    <col min="4614" max="4616" width="13.7265625" style="4" customWidth="1"/>
    <col min="4617" max="4617" width="16.7265625" style="4" customWidth="1"/>
    <col min="4618" max="4618" width="9.1796875" style="4"/>
    <col min="4619" max="4619" width="13.54296875" style="4" customWidth="1"/>
    <col min="4620" max="4862" width="9.1796875" style="4"/>
    <col min="4863" max="4863" width="17.26953125" style="4" customWidth="1"/>
    <col min="4864" max="4868" width="13.7265625" style="4" customWidth="1"/>
    <col min="4869" max="4869" width="15" style="4" customWidth="1"/>
    <col min="4870" max="4872" width="13.7265625" style="4" customWidth="1"/>
    <col min="4873" max="4873" width="16.7265625" style="4" customWidth="1"/>
    <col min="4874" max="4874" width="9.1796875" style="4"/>
    <col min="4875" max="4875" width="13.54296875" style="4" customWidth="1"/>
    <col min="4876" max="5118" width="9.1796875" style="4"/>
    <col min="5119" max="5119" width="17.26953125" style="4" customWidth="1"/>
    <col min="5120" max="5124" width="13.7265625" style="4" customWidth="1"/>
    <col min="5125" max="5125" width="15" style="4" customWidth="1"/>
    <col min="5126" max="5128" width="13.7265625" style="4" customWidth="1"/>
    <col min="5129" max="5129" width="16.7265625" style="4" customWidth="1"/>
    <col min="5130" max="5130" width="9.1796875" style="4"/>
    <col min="5131" max="5131" width="13.54296875" style="4" customWidth="1"/>
    <col min="5132" max="5374" width="9.1796875" style="4"/>
    <col min="5375" max="5375" width="17.26953125" style="4" customWidth="1"/>
    <col min="5376" max="5380" width="13.7265625" style="4" customWidth="1"/>
    <col min="5381" max="5381" width="15" style="4" customWidth="1"/>
    <col min="5382" max="5384" width="13.7265625" style="4" customWidth="1"/>
    <col min="5385" max="5385" width="16.7265625" style="4" customWidth="1"/>
    <col min="5386" max="5386" width="9.1796875" style="4"/>
    <col min="5387" max="5387" width="13.54296875" style="4" customWidth="1"/>
    <col min="5388" max="5630" width="9.1796875" style="4"/>
    <col min="5631" max="5631" width="17.26953125" style="4" customWidth="1"/>
    <col min="5632" max="5636" width="13.7265625" style="4" customWidth="1"/>
    <col min="5637" max="5637" width="15" style="4" customWidth="1"/>
    <col min="5638" max="5640" width="13.7265625" style="4" customWidth="1"/>
    <col min="5641" max="5641" width="16.7265625" style="4" customWidth="1"/>
    <col min="5642" max="5642" width="9.1796875" style="4"/>
    <col min="5643" max="5643" width="13.54296875" style="4" customWidth="1"/>
    <col min="5644" max="5886" width="9.1796875" style="4"/>
    <col min="5887" max="5887" width="17.26953125" style="4" customWidth="1"/>
    <col min="5888" max="5892" width="13.7265625" style="4" customWidth="1"/>
    <col min="5893" max="5893" width="15" style="4" customWidth="1"/>
    <col min="5894" max="5896" width="13.7265625" style="4" customWidth="1"/>
    <col min="5897" max="5897" width="16.7265625" style="4" customWidth="1"/>
    <col min="5898" max="5898" width="9.1796875" style="4"/>
    <col min="5899" max="5899" width="13.54296875" style="4" customWidth="1"/>
    <col min="5900" max="6142" width="9.1796875" style="4"/>
    <col min="6143" max="6143" width="17.26953125" style="4" customWidth="1"/>
    <col min="6144" max="6148" width="13.7265625" style="4" customWidth="1"/>
    <col min="6149" max="6149" width="15" style="4" customWidth="1"/>
    <col min="6150" max="6152" width="13.7265625" style="4" customWidth="1"/>
    <col min="6153" max="6153" width="16.7265625" style="4" customWidth="1"/>
    <col min="6154" max="6154" width="9.1796875" style="4"/>
    <col min="6155" max="6155" width="13.54296875" style="4" customWidth="1"/>
    <col min="6156" max="6398" width="9.1796875" style="4"/>
    <col min="6399" max="6399" width="17.26953125" style="4" customWidth="1"/>
    <col min="6400" max="6404" width="13.7265625" style="4" customWidth="1"/>
    <col min="6405" max="6405" width="15" style="4" customWidth="1"/>
    <col min="6406" max="6408" width="13.7265625" style="4" customWidth="1"/>
    <col min="6409" max="6409" width="16.7265625" style="4" customWidth="1"/>
    <col min="6410" max="6410" width="9.1796875" style="4"/>
    <col min="6411" max="6411" width="13.54296875" style="4" customWidth="1"/>
    <col min="6412" max="6654" width="9.1796875" style="4"/>
    <col min="6655" max="6655" width="17.26953125" style="4" customWidth="1"/>
    <col min="6656" max="6660" width="13.7265625" style="4" customWidth="1"/>
    <col min="6661" max="6661" width="15" style="4" customWidth="1"/>
    <col min="6662" max="6664" width="13.7265625" style="4" customWidth="1"/>
    <col min="6665" max="6665" width="16.7265625" style="4" customWidth="1"/>
    <col min="6666" max="6666" width="9.1796875" style="4"/>
    <col min="6667" max="6667" width="13.54296875" style="4" customWidth="1"/>
    <col min="6668" max="6910" width="9.1796875" style="4"/>
    <col min="6911" max="6911" width="17.26953125" style="4" customWidth="1"/>
    <col min="6912" max="6916" width="13.7265625" style="4" customWidth="1"/>
    <col min="6917" max="6917" width="15" style="4" customWidth="1"/>
    <col min="6918" max="6920" width="13.7265625" style="4" customWidth="1"/>
    <col min="6921" max="6921" width="16.7265625" style="4" customWidth="1"/>
    <col min="6922" max="6922" width="9.1796875" style="4"/>
    <col min="6923" max="6923" width="13.54296875" style="4" customWidth="1"/>
    <col min="6924" max="7166" width="9.1796875" style="4"/>
    <col min="7167" max="7167" width="17.26953125" style="4" customWidth="1"/>
    <col min="7168" max="7172" width="13.7265625" style="4" customWidth="1"/>
    <col min="7173" max="7173" width="15" style="4" customWidth="1"/>
    <col min="7174" max="7176" width="13.7265625" style="4" customWidth="1"/>
    <col min="7177" max="7177" width="16.7265625" style="4" customWidth="1"/>
    <col min="7178" max="7178" width="9.1796875" style="4"/>
    <col min="7179" max="7179" width="13.54296875" style="4" customWidth="1"/>
    <col min="7180" max="7422" width="9.1796875" style="4"/>
    <col min="7423" max="7423" width="17.26953125" style="4" customWidth="1"/>
    <col min="7424" max="7428" width="13.7265625" style="4" customWidth="1"/>
    <col min="7429" max="7429" width="15" style="4" customWidth="1"/>
    <col min="7430" max="7432" width="13.7265625" style="4" customWidth="1"/>
    <col min="7433" max="7433" width="16.7265625" style="4" customWidth="1"/>
    <col min="7434" max="7434" width="9.1796875" style="4"/>
    <col min="7435" max="7435" width="13.54296875" style="4" customWidth="1"/>
    <col min="7436" max="7678" width="9.1796875" style="4"/>
    <col min="7679" max="7679" width="17.26953125" style="4" customWidth="1"/>
    <col min="7680" max="7684" width="13.7265625" style="4" customWidth="1"/>
    <col min="7685" max="7685" width="15" style="4" customWidth="1"/>
    <col min="7686" max="7688" width="13.7265625" style="4" customWidth="1"/>
    <col min="7689" max="7689" width="16.7265625" style="4" customWidth="1"/>
    <col min="7690" max="7690" width="9.1796875" style="4"/>
    <col min="7691" max="7691" width="13.54296875" style="4" customWidth="1"/>
    <col min="7692" max="7934" width="9.1796875" style="4"/>
    <col min="7935" max="7935" width="17.26953125" style="4" customWidth="1"/>
    <col min="7936" max="7940" width="13.7265625" style="4" customWidth="1"/>
    <col min="7941" max="7941" width="15" style="4" customWidth="1"/>
    <col min="7942" max="7944" width="13.7265625" style="4" customWidth="1"/>
    <col min="7945" max="7945" width="16.7265625" style="4" customWidth="1"/>
    <col min="7946" max="7946" width="9.1796875" style="4"/>
    <col min="7947" max="7947" width="13.54296875" style="4" customWidth="1"/>
    <col min="7948" max="8190" width="9.1796875" style="4"/>
    <col min="8191" max="8191" width="17.26953125" style="4" customWidth="1"/>
    <col min="8192" max="8196" width="13.7265625" style="4" customWidth="1"/>
    <col min="8197" max="8197" width="15" style="4" customWidth="1"/>
    <col min="8198" max="8200" width="13.7265625" style="4" customWidth="1"/>
    <col min="8201" max="8201" width="16.7265625" style="4" customWidth="1"/>
    <col min="8202" max="8202" width="9.1796875" style="4"/>
    <col min="8203" max="8203" width="13.54296875" style="4" customWidth="1"/>
    <col min="8204" max="8446" width="9.1796875" style="4"/>
    <col min="8447" max="8447" width="17.26953125" style="4" customWidth="1"/>
    <col min="8448" max="8452" width="13.7265625" style="4" customWidth="1"/>
    <col min="8453" max="8453" width="15" style="4" customWidth="1"/>
    <col min="8454" max="8456" width="13.7265625" style="4" customWidth="1"/>
    <col min="8457" max="8457" width="16.7265625" style="4" customWidth="1"/>
    <col min="8458" max="8458" width="9.1796875" style="4"/>
    <col min="8459" max="8459" width="13.54296875" style="4" customWidth="1"/>
    <col min="8460" max="8702" width="9.1796875" style="4"/>
    <col min="8703" max="8703" width="17.26953125" style="4" customWidth="1"/>
    <col min="8704" max="8708" width="13.7265625" style="4" customWidth="1"/>
    <col min="8709" max="8709" width="15" style="4" customWidth="1"/>
    <col min="8710" max="8712" width="13.7265625" style="4" customWidth="1"/>
    <col min="8713" max="8713" width="16.7265625" style="4" customWidth="1"/>
    <col min="8714" max="8714" width="9.1796875" style="4"/>
    <col min="8715" max="8715" width="13.54296875" style="4" customWidth="1"/>
    <col min="8716" max="8958" width="9.1796875" style="4"/>
    <col min="8959" max="8959" width="17.26953125" style="4" customWidth="1"/>
    <col min="8960" max="8964" width="13.7265625" style="4" customWidth="1"/>
    <col min="8965" max="8965" width="15" style="4" customWidth="1"/>
    <col min="8966" max="8968" width="13.7265625" style="4" customWidth="1"/>
    <col min="8969" max="8969" width="16.7265625" style="4" customWidth="1"/>
    <col min="8970" max="8970" width="9.1796875" style="4"/>
    <col min="8971" max="8971" width="13.54296875" style="4" customWidth="1"/>
    <col min="8972" max="9214" width="9.1796875" style="4"/>
    <col min="9215" max="9215" width="17.26953125" style="4" customWidth="1"/>
    <col min="9216" max="9220" width="13.7265625" style="4" customWidth="1"/>
    <col min="9221" max="9221" width="15" style="4" customWidth="1"/>
    <col min="9222" max="9224" width="13.7265625" style="4" customWidth="1"/>
    <col min="9225" max="9225" width="16.7265625" style="4" customWidth="1"/>
    <col min="9226" max="9226" width="9.1796875" style="4"/>
    <col min="9227" max="9227" width="13.54296875" style="4" customWidth="1"/>
    <col min="9228" max="9470" width="9.1796875" style="4"/>
    <col min="9471" max="9471" width="17.26953125" style="4" customWidth="1"/>
    <col min="9472" max="9476" width="13.7265625" style="4" customWidth="1"/>
    <col min="9477" max="9477" width="15" style="4" customWidth="1"/>
    <col min="9478" max="9480" width="13.7265625" style="4" customWidth="1"/>
    <col min="9481" max="9481" width="16.7265625" style="4" customWidth="1"/>
    <col min="9482" max="9482" width="9.1796875" style="4"/>
    <col min="9483" max="9483" width="13.54296875" style="4" customWidth="1"/>
    <col min="9484" max="9726" width="9.1796875" style="4"/>
    <col min="9727" max="9727" width="17.26953125" style="4" customWidth="1"/>
    <col min="9728" max="9732" width="13.7265625" style="4" customWidth="1"/>
    <col min="9733" max="9733" width="15" style="4" customWidth="1"/>
    <col min="9734" max="9736" width="13.7265625" style="4" customWidth="1"/>
    <col min="9737" max="9737" width="16.7265625" style="4" customWidth="1"/>
    <col min="9738" max="9738" width="9.1796875" style="4"/>
    <col min="9739" max="9739" width="13.54296875" style="4" customWidth="1"/>
    <col min="9740" max="9982" width="9.1796875" style="4"/>
    <col min="9983" max="9983" width="17.26953125" style="4" customWidth="1"/>
    <col min="9984" max="9988" width="13.7265625" style="4" customWidth="1"/>
    <col min="9989" max="9989" width="15" style="4" customWidth="1"/>
    <col min="9990" max="9992" width="13.7265625" style="4" customWidth="1"/>
    <col min="9993" max="9993" width="16.7265625" style="4" customWidth="1"/>
    <col min="9994" max="9994" width="9.1796875" style="4"/>
    <col min="9995" max="9995" width="13.54296875" style="4" customWidth="1"/>
    <col min="9996" max="10238" width="9.1796875" style="4"/>
    <col min="10239" max="10239" width="17.26953125" style="4" customWidth="1"/>
    <col min="10240" max="10244" width="13.7265625" style="4" customWidth="1"/>
    <col min="10245" max="10245" width="15" style="4" customWidth="1"/>
    <col min="10246" max="10248" width="13.7265625" style="4" customWidth="1"/>
    <col min="10249" max="10249" width="16.7265625" style="4" customWidth="1"/>
    <col min="10250" max="10250" width="9.1796875" style="4"/>
    <col min="10251" max="10251" width="13.54296875" style="4" customWidth="1"/>
    <col min="10252" max="10494" width="9.1796875" style="4"/>
    <col min="10495" max="10495" width="17.26953125" style="4" customWidth="1"/>
    <col min="10496" max="10500" width="13.7265625" style="4" customWidth="1"/>
    <col min="10501" max="10501" width="15" style="4" customWidth="1"/>
    <col min="10502" max="10504" width="13.7265625" style="4" customWidth="1"/>
    <col min="10505" max="10505" width="16.7265625" style="4" customWidth="1"/>
    <col min="10506" max="10506" width="9.1796875" style="4"/>
    <col min="10507" max="10507" width="13.54296875" style="4" customWidth="1"/>
    <col min="10508" max="10750" width="9.1796875" style="4"/>
    <col min="10751" max="10751" width="17.26953125" style="4" customWidth="1"/>
    <col min="10752" max="10756" width="13.7265625" style="4" customWidth="1"/>
    <col min="10757" max="10757" width="15" style="4" customWidth="1"/>
    <col min="10758" max="10760" width="13.7265625" style="4" customWidth="1"/>
    <col min="10761" max="10761" width="16.7265625" style="4" customWidth="1"/>
    <col min="10762" max="10762" width="9.1796875" style="4"/>
    <col min="10763" max="10763" width="13.54296875" style="4" customWidth="1"/>
    <col min="10764" max="11006" width="9.1796875" style="4"/>
    <col min="11007" max="11007" width="17.26953125" style="4" customWidth="1"/>
    <col min="11008" max="11012" width="13.7265625" style="4" customWidth="1"/>
    <col min="11013" max="11013" width="15" style="4" customWidth="1"/>
    <col min="11014" max="11016" width="13.7265625" style="4" customWidth="1"/>
    <col min="11017" max="11017" width="16.7265625" style="4" customWidth="1"/>
    <col min="11018" max="11018" width="9.1796875" style="4"/>
    <col min="11019" max="11019" width="13.54296875" style="4" customWidth="1"/>
    <col min="11020" max="11262" width="9.1796875" style="4"/>
    <col min="11263" max="11263" width="17.26953125" style="4" customWidth="1"/>
    <col min="11264" max="11268" width="13.7265625" style="4" customWidth="1"/>
    <col min="11269" max="11269" width="15" style="4" customWidth="1"/>
    <col min="11270" max="11272" width="13.7265625" style="4" customWidth="1"/>
    <col min="11273" max="11273" width="16.7265625" style="4" customWidth="1"/>
    <col min="11274" max="11274" width="9.1796875" style="4"/>
    <col min="11275" max="11275" width="13.54296875" style="4" customWidth="1"/>
    <col min="11276" max="11518" width="9.1796875" style="4"/>
    <col min="11519" max="11519" width="17.26953125" style="4" customWidth="1"/>
    <col min="11520" max="11524" width="13.7265625" style="4" customWidth="1"/>
    <col min="11525" max="11525" width="15" style="4" customWidth="1"/>
    <col min="11526" max="11528" width="13.7265625" style="4" customWidth="1"/>
    <col min="11529" max="11529" width="16.7265625" style="4" customWidth="1"/>
    <col min="11530" max="11530" width="9.1796875" style="4"/>
    <col min="11531" max="11531" width="13.54296875" style="4" customWidth="1"/>
    <col min="11532" max="11774" width="9.1796875" style="4"/>
    <col min="11775" max="11775" width="17.26953125" style="4" customWidth="1"/>
    <col min="11776" max="11780" width="13.7265625" style="4" customWidth="1"/>
    <col min="11781" max="11781" width="15" style="4" customWidth="1"/>
    <col min="11782" max="11784" width="13.7265625" style="4" customWidth="1"/>
    <col min="11785" max="11785" width="16.7265625" style="4" customWidth="1"/>
    <col min="11786" max="11786" width="9.1796875" style="4"/>
    <col min="11787" max="11787" width="13.54296875" style="4" customWidth="1"/>
    <col min="11788" max="12030" width="9.1796875" style="4"/>
    <col min="12031" max="12031" width="17.26953125" style="4" customWidth="1"/>
    <col min="12032" max="12036" width="13.7265625" style="4" customWidth="1"/>
    <col min="12037" max="12037" width="15" style="4" customWidth="1"/>
    <col min="12038" max="12040" width="13.7265625" style="4" customWidth="1"/>
    <col min="12041" max="12041" width="16.7265625" style="4" customWidth="1"/>
    <col min="12042" max="12042" width="9.1796875" style="4"/>
    <col min="12043" max="12043" width="13.54296875" style="4" customWidth="1"/>
    <col min="12044" max="12286" width="9.1796875" style="4"/>
    <col min="12287" max="12287" width="17.26953125" style="4" customWidth="1"/>
    <col min="12288" max="12292" width="13.7265625" style="4" customWidth="1"/>
    <col min="12293" max="12293" width="15" style="4" customWidth="1"/>
    <col min="12294" max="12296" width="13.7265625" style="4" customWidth="1"/>
    <col min="12297" max="12297" width="16.7265625" style="4" customWidth="1"/>
    <col min="12298" max="12298" width="9.1796875" style="4"/>
    <col min="12299" max="12299" width="13.54296875" style="4" customWidth="1"/>
    <col min="12300" max="12542" width="9.1796875" style="4"/>
    <col min="12543" max="12543" width="17.26953125" style="4" customWidth="1"/>
    <col min="12544" max="12548" width="13.7265625" style="4" customWidth="1"/>
    <col min="12549" max="12549" width="15" style="4" customWidth="1"/>
    <col min="12550" max="12552" width="13.7265625" style="4" customWidth="1"/>
    <col min="12553" max="12553" width="16.7265625" style="4" customWidth="1"/>
    <col min="12554" max="12554" width="9.1796875" style="4"/>
    <col min="12555" max="12555" width="13.54296875" style="4" customWidth="1"/>
    <col min="12556" max="12798" width="9.1796875" style="4"/>
    <col min="12799" max="12799" width="17.26953125" style="4" customWidth="1"/>
    <col min="12800" max="12804" width="13.7265625" style="4" customWidth="1"/>
    <col min="12805" max="12805" width="15" style="4" customWidth="1"/>
    <col min="12806" max="12808" width="13.7265625" style="4" customWidth="1"/>
    <col min="12809" max="12809" width="16.7265625" style="4" customWidth="1"/>
    <col min="12810" max="12810" width="9.1796875" style="4"/>
    <col min="12811" max="12811" width="13.54296875" style="4" customWidth="1"/>
    <col min="12812" max="13054" width="9.1796875" style="4"/>
    <col min="13055" max="13055" width="17.26953125" style="4" customWidth="1"/>
    <col min="13056" max="13060" width="13.7265625" style="4" customWidth="1"/>
    <col min="13061" max="13061" width="15" style="4" customWidth="1"/>
    <col min="13062" max="13064" width="13.7265625" style="4" customWidth="1"/>
    <col min="13065" max="13065" width="16.7265625" style="4" customWidth="1"/>
    <col min="13066" max="13066" width="9.1796875" style="4"/>
    <col min="13067" max="13067" width="13.54296875" style="4" customWidth="1"/>
    <col min="13068" max="13310" width="9.1796875" style="4"/>
    <col min="13311" max="13311" width="17.26953125" style="4" customWidth="1"/>
    <col min="13312" max="13316" width="13.7265625" style="4" customWidth="1"/>
    <col min="13317" max="13317" width="15" style="4" customWidth="1"/>
    <col min="13318" max="13320" width="13.7265625" style="4" customWidth="1"/>
    <col min="13321" max="13321" width="16.7265625" style="4" customWidth="1"/>
    <col min="13322" max="13322" width="9.1796875" style="4"/>
    <col min="13323" max="13323" width="13.54296875" style="4" customWidth="1"/>
    <col min="13324" max="13566" width="9.1796875" style="4"/>
    <col min="13567" max="13567" width="17.26953125" style="4" customWidth="1"/>
    <col min="13568" max="13572" width="13.7265625" style="4" customWidth="1"/>
    <col min="13573" max="13573" width="15" style="4" customWidth="1"/>
    <col min="13574" max="13576" width="13.7265625" style="4" customWidth="1"/>
    <col min="13577" max="13577" width="16.7265625" style="4" customWidth="1"/>
    <col min="13578" max="13578" width="9.1796875" style="4"/>
    <col min="13579" max="13579" width="13.54296875" style="4" customWidth="1"/>
    <col min="13580" max="13822" width="9.1796875" style="4"/>
    <col min="13823" max="13823" width="17.26953125" style="4" customWidth="1"/>
    <col min="13824" max="13828" width="13.7265625" style="4" customWidth="1"/>
    <col min="13829" max="13829" width="15" style="4" customWidth="1"/>
    <col min="13830" max="13832" width="13.7265625" style="4" customWidth="1"/>
    <col min="13833" max="13833" width="16.7265625" style="4" customWidth="1"/>
    <col min="13834" max="13834" width="9.1796875" style="4"/>
    <col min="13835" max="13835" width="13.54296875" style="4" customWidth="1"/>
    <col min="13836" max="14078" width="9.1796875" style="4"/>
    <col min="14079" max="14079" width="17.26953125" style="4" customWidth="1"/>
    <col min="14080" max="14084" width="13.7265625" style="4" customWidth="1"/>
    <col min="14085" max="14085" width="15" style="4" customWidth="1"/>
    <col min="14086" max="14088" width="13.7265625" style="4" customWidth="1"/>
    <col min="14089" max="14089" width="16.7265625" style="4" customWidth="1"/>
    <col min="14090" max="14090" width="9.1796875" style="4"/>
    <col min="14091" max="14091" width="13.54296875" style="4" customWidth="1"/>
    <col min="14092" max="14334" width="9.1796875" style="4"/>
    <col min="14335" max="14335" width="17.26953125" style="4" customWidth="1"/>
    <col min="14336" max="14340" width="13.7265625" style="4" customWidth="1"/>
    <col min="14341" max="14341" width="15" style="4" customWidth="1"/>
    <col min="14342" max="14344" width="13.7265625" style="4" customWidth="1"/>
    <col min="14345" max="14345" width="16.7265625" style="4" customWidth="1"/>
    <col min="14346" max="14346" width="9.1796875" style="4"/>
    <col min="14347" max="14347" width="13.54296875" style="4" customWidth="1"/>
    <col min="14348" max="14590" width="9.1796875" style="4"/>
    <col min="14591" max="14591" width="17.26953125" style="4" customWidth="1"/>
    <col min="14592" max="14596" width="13.7265625" style="4" customWidth="1"/>
    <col min="14597" max="14597" width="15" style="4" customWidth="1"/>
    <col min="14598" max="14600" width="13.7265625" style="4" customWidth="1"/>
    <col min="14601" max="14601" width="16.7265625" style="4" customWidth="1"/>
    <col min="14602" max="14602" width="9.1796875" style="4"/>
    <col min="14603" max="14603" width="13.54296875" style="4" customWidth="1"/>
    <col min="14604" max="14846" width="9.1796875" style="4"/>
    <col min="14847" max="14847" width="17.26953125" style="4" customWidth="1"/>
    <col min="14848" max="14852" width="13.7265625" style="4" customWidth="1"/>
    <col min="14853" max="14853" width="15" style="4" customWidth="1"/>
    <col min="14854" max="14856" width="13.7265625" style="4" customWidth="1"/>
    <col min="14857" max="14857" width="16.7265625" style="4" customWidth="1"/>
    <col min="14858" max="14858" width="9.1796875" style="4"/>
    <col min="14859" max="14859" width="13.54296875" style="4" customWidth="1"/>
    <col min="14860" max="15102" width="9.1796875" style="4"/>
    <col min="15103" max="15103" width="17.26953125" style="4" customWidth="1"/>
    <col min="15104" max="15108" width="13.7265625" style="4" customWidth="1"/>
    <col min="15109" max="15109" width="15" style="4" customWidth="1"/>
    <col min="15110" max="15112" width="13.7265625" style="4" customWidth="1"/>
    <col min="15113" max="15113" width="16.7265625" style="4" customWidth="1"/>
    <col min="15114" max="15114" width="9.1796875" style="4"/>
    <col min="15115" max="15115" width="13.54296875" style="4" customWidth="1"/>
    <col min="15116" max="15358" width="9.1796875" style="4"/>
    <col min="15359" max="15359" width="17.26953125" style="4" customWidth="1"/>
    <col min="15360" max="15364" width="13.7265625" style="4" customWidth="1"/>
    <col min="15365" max="15365" width="15" style="4" customWidth="1"/>
    <col min="15366" max="15368" width="13.7265625" style="4" customWidth="1"/>
    <col min="15369" max="15369" width="16.7265625" style="4" customWidth="1"/>
    <col min="15370" max="15370" width="9.1796875" style="4"/>
    <col min="15371" max="15371" width="13.54296875" style="4" customWidth="1"/>
    <col min="15372" max="15614" width="9.1796875" style="4"/>
    <col min="15615" max="15615" width="17.26953125" style="4" customWidth="1"/>
    <col min="15616" max="15620" width="13.7265625" style="4" customWidth="1"/>
    <col min="15621" max="15621" width="15" style="4" customWidth="1"/>
    <col min="15622" max="15624" width="13.7265625" style="4" customWidth="1"/>
    <col min="15625" max="15625" width="16.7265625" style="4" customWidth="1"/>
    <col min="15626" max="15626" width="9.1796875" style="4"/>
    <col min="15627" max="15627" width="13.54296875" style="4" customWidth="1"/>
    <col min="15628" max="15870" width="9.1796875" style="4"/>
    <col min="15871" max="15871" width="17.26953125" style="4" customWidth="1"/>
    <col min="15872" max="15876" width="13.7265625" style="4" customWidth="1"/>
    <col min="15877" max="15877" width="15" style="4" customWidth="1"/>
    <col min="15878" max="15880" width="13.7265625" style="4" customWidth="1"/>
    <col min="15881" max="15881" width="16.7265625" style="4" customWidth="1"/>
    <col min="15882" max="15882" width="9.1796875" style="4"/>
    <col min="15883" max="15883" width="13.54296875" style="4" customWidth="1"/>
    <col min="15884" max="16126" width="9.1796875" style="4"/>
    <col min="16127" max="16127" width="17.26953125" style="4" customWidth="1"/>
    <col min="16128" max="16132" width="13.7265625" style="4" customWidth="1"/>
    <col min="16133" max="16133" width="15" style="4" customWidth="1"/>
    <col min="16134" max="16136" width="13.7265625" style="4" customWidth="1"/>
    <col min="16137" max="16137" width="16.7265625" style="4" customWidth="1"/>
    <col min="16138" max="16138" width="9.1796875" style="4"/>
    <col min="16139" max="16139" width="13.54296875" style="4" customWidth="1"/>
    <col min="16140" max="16381" width="9.1796875" style="4"/>
    <col min="16382" max="16384" width="9.1796875" style="4" customWidth="1"/>
  </cols>
  <sheetData>
    <row r="1" spans="1:11" ht="15" customHeight="1" x14ac:dyDescent="0.3">
      <c r="A1" s="10" t="s">
        <v>17</v>
      </c>
      <c r="B1" s="11"/>
      <c r="C1" s="11"/>
      <c r="D1" s="11"/>
      <c r="E1" s="11"/>
      <c r="F1" s="11"/>
      <c r="G1" s="11"/>
      <c r="H1" s="11"/>
      <c r="I1" s="11"/>
    </row>
    <row r="2" spans="1:11" ht="15" customHeight="1" x14ac:dyDescent="0.3">
      <c r="A2" s="10" t="s">
        <v>18</v>
      </c>
      <c r="B2" s="11"/>
      <c r="C2" s="11"/>
      <c r="D2" s="11"/>
      <c r="E2" s="11"/>
      <c r="F2" s="11"/>
      <c r="G2" s="11"/>
      <c r="H2" s="11"/>
      <c r="I2" s="11"/>
    </row>
    <row r="3" spans="1:11" ht="15" customHeight="1" x14ac:dyDescent="0.3">
      <c r="A3" s="10" t="s">
        <v>19</v>
      </c>
      <c r="B3" s="11"/>
      <c r="C3" s="11"/>
      <c r="D3" s="11"/>
      <c r="E3" s="11"/>
      <c r="F3" s="11"/>
      <c r="G3" s="11"/>
      <c r="H3" s="11"/>
      <c r="I3" s="11"/>
    </row>
    <row r="4" spans="1:11" ht="15" customHeight="1" x14ac:dyDescent="0.3">
      <c r="A4" s="10" t="s">
        <v>96</v>
      </c>
      <c r="B4" s="11"/>
      <c r="C4" s="11"/>
      <c r="D4" s="11"/>
      <c r="E4" s="11"/>
      <c r="F4" s="11"/>
      <c r="G4" s="11"/>
      <c r="H4" s="11"/>
      <c r="I4" s="11"/>
    </row>
    <row r="5" spans="1:11" ht="15" customHeight="1" x14ac:dyDescent="0.3">
      <c r="A5" s="10"/>
      <c r="B5" s="11"/>
      <c r="C5" s="11"/>
      <c r="D5" s="11"/>
      <c r="E5" s="11"/>
      <c r="F5" s="11"/>
      <c r="G5" s="11"/>
      <c r="H5" s="11"/>
      <c r="I5" s="11"/>
    </row>
    <row r="6" spans="1:11" s="12" customFormat="1" ht="55.5" customHeight="1" x14ac:dyDescent="0.35">
      <c r="A6" s="17" t="s">
        <v>20</v>
      </c>
      <c r="B6" s="34" t="s">
        <v>21</v>
      </c>
      <c r="C6" s="34" t="s">
        <v>22</v>
      </c>
      <c r="D6" s="34" t="s">
        <v>23</v>
      </c>
      <c r="E6" s="34" t="s">
        <v>24</v>
      </c>
      <c r="F6" s="34" t="s">
        <v>25</v>
      </c>
      <c r="G6" s="34" t="s">
        <v>26</v>
      </c>
      <c r="H6" s="34" t="s">
        <v>27</v>
      </c>
      <c r="I6" s="18" t="s">
        <v>28</v>
      </c>
    </row>
    <row r="7" spans="1:11" ht="14.5" x14ac:dyDescent="0.35">
      <c r="A7" s="31" t="s">
        <v>29</v>
      </c>
      <c r="B7" s="45">
        <v>1490368</v>
      </c>
      <c r="C7" s="45">
        <v>33828183</v>
      </c>
      <c r="D7" s="45">
        <v>13368387</v>
      </c>
      <c r="E7" s="45">
        <v>233813020.42000002</v>
      </c>
      <c r="F7" s="45">
        <v>2590595</v>
      </c>
      <c r="G7" s="45">
        <v>4925161</v>
      </c>
      <c r="H7" s="45">
        <v>13057</v>
      </c>
      <c r="I7" s="45">
        <f>SUM(B7:H7)</f>
        <v>290028771.42000002</v>
      </c>
      <c r="J7" s="58"/>
      <c r="K7" s="59"/>
    </row>
    <row r="8" spans="1:11" x14ac:dyDescent="0.25">
      <c r="A8" s="31" t="s">
        <v>30</v>
      </c>
      <c r="B8" s="45">
        <v>2879209.9200000004</v>
      </c>
      <c r="C8" s="45">
        <v>11761467.92</v>
      </c>
      <c r="D8" s="45">
        <v>1376575.77</v>
      </c>
      <c r="E8" s="45">
        <v>22132571.91</v>
      </c>
      <c r="F8" s="45">
        <v>224429.26</v>
      </c>
      <c r="G8" s="45">
        <v>4197419.97</v>
      </c>
      <c r="H8" s="45">
        <v>55787.399999999994</v>
      </c>
      <c r="I8" s="45">
        <f t="shared" ref="I8:I38" si="0">SUM(B8:H8)</f>
        <v>42627462.149999991</v>
      </c>
    </row>
    <row r="9" spans="1:11" ht="12.75" customHeight="1" x14ac:dyDescent="0.25">
      <c r="A9" s="31" t="s">
        <v>31</v>
      </c>
      <c r="B9" s="45">
        <v>-298260.88999999996</v>
      </c>
      <c r="C9" s="45">
        <v>-715826.12</v>
      </c>
      <c r="D9" s="45">
        <v>-298260.88999999996</v>
      </c>
      <c r="E9" s="45">
        <v>-4175652.44</v>
      </c>
      <c r="F9" s="45">
        <v>-178956.55</v>
      </c>
      <c r="G9" s="45">
        <v>-128324.59</v>
      </c>
      <c r="H9" s="45">
        <v>-169936.28999999998</v>
      </c>
      <c r="I9" s="45">
        <f t="shared" si="0"/>
        <v>-5965217.7699999996</v>
      </c>
    </row>
    <row r="10" spans="1:11" x14ac:dyDescent="0.25">
      <c r="A10" s="31" t="s">
        <v>32</v>
      </c>
      <c r="B10" s="45">
        <v>2445479.35</v>
      </c>
      <c r="C10" s="45">
        <v>70975463.540000007</v>
      </c>
      <c r="D10" s="45">
        <v>17405355.199999999</v>
      </c>
      <c r="E10" s="45">
        <v>223219055.10000002</v>
      </c>
      <c r="F10" s="45">
        <v>2868816.1900000004</v>
      </c>
      <c r="G10" s="45">
        <v>5910378.4100000001</v>
      </c>
      <c r="H10" s="45">
        <v>0</v>
      </c>
      <c r="I10" s="45">
        <f t="shared" si="0"/>
        <v>322824547.79000008</v>
      </c>
    </row>
    <row r="11" spans="1:11" x14ac:dyDescent="0.25">
      <c r="A11" s="31" t="s">
        <v>33</v>
      </c>
      <c r="B11" s="45">
        <v>2739952.4599999995</v>
      </c>
      <c r="C11" s="45">
        <v>3843558</v>
      </c>
      <c r="D11" s="45">
        <v>105488067.06</v>
      </c>
      <c r="E11" s="45">
        <v>93440923.549999997</v>
      </c>
      <c r="F11" s="45">
        <v>15720924</v>
      </c>
      <c r="G11" s="45">
        <v>448875</v>
      </c>
      <c r="H11" s="45">
        <v>0</v>
      </c>
      <c r="I11" s="45">
        <f t="shared" si="0"/>
        <v>221682300.06999999</v>
      </c>
    </row>
    <row r="12" spans="1:11" ht="12.75" customHeight="1" x14ac:dyDescent="0.25">
      <c r="A12" s="31" t="s">
        <v>34</v>
      </c>
      <c r="B12" s="45">
        <v>16270449</v>
      </c>
      <c r="C12" s="45">
        <v>78231056</v>
      </c>
      <c r="D12" s="45">
        <v>39823459</v>
      </c>
      <c r="E12" s="45">
        <v>1313067602</v>
      </c>
      <c r="F12" s="45">
        <v>0</v>
      </c>
      <c r="G12" s="45">
        <v>0</v>
      </c>
      <c r="H12" s="45">
        <v>25485428</v>
      </c>
      <c r="I12" s="45">
        <f t="shared" si="0"/>
        <v>1472877994</v>
      </c>
    </row>
    <row r="13" spans="1:11" x14ac:dyDescent="0.25">
      <c r="A13" s="31" t="s">
        <v>35</v>
      </c>
      <c r="B13" s="45">
        <v>9392778.4199999999</v>
      </c>
      <c r="C13" s="45">
        <v>48386160.709999993</v>
      </c>
      <c r="D13" s="45">
        <v>4730960.4800000004</v>
      </c>
      <c r="E13" s="45">
        <v>140186017.39000002</v>
      </c>
      <c r="F13" s="45">
        <v>6622720.3899999997</v>
      </c>
      <c r="G13" s="45">
        <v>11376632.409999996</v>
      </c>
      <c r="H13" s="45">
        <v>1242348.54</v>
      </c>
      <c r="I13" s="45">
        <f t="shared" si="0"/>
        <v>221937618.33999997</v>
      </c>
    </row>
    <row r="14" spans="1:11" x14ac:dyDescent="0.25">
      <c r="A14" s="31" t="s">
        <v>36</v>
      </c>
      <c r="B14" s="45">
        <v>1100448.2</v>
      </c>
      <c r="C14" s="45">
        <v>36108540.990000002</v>
      </c>
      <c r="D14" s="45">
        <v>6354815.7799999993</v>
      </c>
      <c r="E14" s="45">
        <v>113185039.23</v>
      </c>
      <c r="F14" s="45">
        <v>1777948.2400000002</v>
      </c>
      <c r="G14" s="45">
        <v>11024268.84</v>
      </c>
      <c r="H14" s="45">
        <v>3018482.3799999985</v>
      </c>
      <c r="I14" s="45">
        <f t="shared" si="0"/>
        <v>172569543.66000003</v>
      </c>
    </row>
    <row r="15" spans="1:11" x14ac:dyDescent="0.25">
      <c r="A15" s="31" t="s">
        <v>37</v>
      </c>
      <c r="B15" s="45">
        <v>7997211</v>
      </c>
      <c r="C15" s="45">
        <v>1484415</v>
      </c>
      <c r="D15" s="45">
        <v>886533</v>
      </c>
      <c r="E15" s="45">
        <v>59184851.719999999</v>
      </c>
      <c r="F15" s="45">
        <v>805346</v>
      </c>
      <c r="G15" s="45">
        <v>378215</v>
      </c>
      <c r="H15" s="45">
        <v>0</v>
      </c>
      <c r="I15" s="45">
        <f t="shared" si="0"/>
        <v>70736571.719999999</v>
      </c>
    </row>
    <row r="16" spans="1:11" ht="12.75" customHeight="1" x14ac:dyDescent="0.25">
      <c r="A16" s="31" t="s">
        <v>38</v>
      </c>
      <c r="B16" s="45">
        <v>701235.01000000013</v>
      </c>
      <c r="C16" s="45">
        <v>10297190.040000003</v>
      </c>
      <c r="D16" s="45">
        <v>20014172.529999997</v>
      </c>
      <c r="E16" s="45">
        <v>-8744277.9600000009</v>
      </c>
      <c r="F16" s="45">
        <v>0</v>
      </c>
      <c r="G16" s="45">
        <v>0</v>
      </c>
      <c r="H16" s="45">
        <v>7541571.9199999999</v>
      </c>
      <c r="I16" s="45">
        <f t="shared" si="0"/>
        <v>29809891.539999999</v>
      </c>
    </row>
    <row r="17" spans="1:11" x14ac:dyDescent="0.25">
      <c r="A17" s="31" t="s">
        <v>39</v>
      </c>
      <c r="B17" s="45">
        <v>39502769.140000001</v>
      </c>
      <c r="C17" s="45">
        <v>451175112.02999997</v>
      </c>
      <c r="D17" s="45">
        <v>33056686.530000005</v>
      </c>
      <c r="E17" s="45">
        <v>516079539.72999996</v>
      </c>
      <c r="F17" s="45">
        <v>1249488.42</v>
      </c>
      <c r="G17" s="45">
        <v>25725200.600000001</v>
      </c>
      <c r="H17" s="45">
        <v>16259253.210000003</v>
      </c>
      <c r="I17" s="45">
        <f t="shared" si="0"/>
        <v>1083048049.6599998</v>
      </c>
    </row>
    <row r="18" spans="1:11" x14ac:dyDescent="0.25">
      <c r="A18" s="31" t="s">
        <v>40</v>
      </c>
      <c r="B18" s="45">
        <v>20874002.52</v>
      </c>
      <c r="C18" s="45">
        <v>196659173.97999996</v>
      </c>
      <c r="D18" s="45">
        <v>33033201.880000003</v>
      </c>
      <c r="E18" s="45">
        <v>365464672.39999998</v>
      </c>
      <c r="F18" s="45">
        <v>2748218.7199999997</v>
      </c>
      <c r="G18" s="45">
        <v>6881723.2899999991</v>
      </c>
      <c r="H18" s="45">
        <v>0</v>
      </c>
      <c r="I18" s="45">
        <f t="shared" si="0"/>
        <v>625660992.78999996</v>
      </c>
    </row>
    <row r="19" spans="1:11" x14ac:dyDescent="0.25">
      <c r="A19" s="31" t="s">
        <v>41</v>
      </c>
      <c r="B19" s="45">
        <v>275614.18999999989</v>
      </c>
      <c r="C19" s="45">
        <v>1757097.46</v>
      </c>
      <c r="D19" s="45">
        <v>13017.98000000004</v>
      </c>
      <c r="E19" s="45">
        <v>5239745.47</v>
      </c>
      <c r="F19" s="45">
        <v>44732.93</v>
      </c>
      <c r="G19" s="45">
        <v>289744.38</v>
      </c>
      <c r="H19" s="45">
        <v>488538</v>
      </c>
      <c r="I19" s="45">
        <f t="shared" si="0"/>
        <v>8108490.4099999992</v>
      </c>
    </row>
    <row r="20" spans="1:11" x14ac:dyDescent="0.25">
      <c r="A20" s="31" t="s">
        <v>42</v>
      </c>
      <c r="B20" s="45">
        <v>3198527</v>
      </c>
      <c r="C20" s="45">
        <v>4457843</v>
      </c>
      <c r="D20" s="45">
        <v>1918190</v>
      </c>
      <c r="E20" s="45">
        <v>66316994.689999998</v>
      </c>
      <c r="F20" s="45">
        <v>2440330</v>
      </c>
      <c r="G20" s="45">
        <v>3523358</v>
      </c>
      <c r="H20" s="45">
        <v>0</v>
      </c>
      <c r="I20" s="45">
        <f t="shared" si="0"/>
        <v>81855242.689999998</v>
      </c>
    </row>
    <row r="21" spans="1:11" x14ac:dyDescent="0.25">
      <c r="A21" s="31" t="s">
        <v>43</v>
      </c>
      <c r="B21" s="45">
        <v>1234932</v>
      </c>
      <c r="C21" s="45">
        <v>24671693</v>
      </c>
      <c r="D21" s="45">
        <v>1494669</v>
      </c>
      <c r="E21" s="45">
        <v>115000368</v>
      </c>
      <c r="F21" s="45">
        <v>693496</v>
      </c>
      <c r="G21" s="45">
        <v>0</v>
      </c>
      <c r="H21" s="45">
        <v>908408</v>
      </c>
      <c r="I21" s="45">
        <f t="shared" si="0"/>
        <v>144003566</v>
      </c>
    </row>
    <row r="22" spans="1:11" x14ac:dyDescent="0.25">
      <c r="A22" s="31" t="s">
        <v>44</v>
      </c>
      <c r="B22" s="45">
        <v>15924757</v>
      </c>
      <c r="C22" s="45">
        <v>77783772.789999992</v>
      </c>
      <c r="D22" s="45">
        <v>12590943</v>
      </c>
      <c r="E22" s="45">
        <v>308181288.44999999</v>
      </c>
      <c r="F22" s="45">
        <v>2050945</v>
      </c>
      <c r="G22" s="45">
        <v>31154747</v>
      </c>
      <c r="H22" s="45">
        <v>18153039</v>
      </c>
      <c r="I22" s="45">
        <f t="shared" si="0"/>
        <v>465839492.24000001</v>
      </c>
    </row>
    <row r="23" spans="1:11" x14ac:dyDescent="0.25">
      <c r="A23" s="31" t="s">
        <v>45</v>
      </c>
      <c r="B23" s="45">
        <v>22357681.379999995</v>
      </c>
      <c r="C23" s="45">
        <v>20585672.870000001</v>
      </c>
      <c r="D23" s="45">
        <v>2970700.8500000006</v>
      </c>
      <c r="E23" s="45">
        <v>309005607.68999994</v>
      </c>
      <c r="F23" s="45">
        <v>7361224.6500000004</v>
      </c>
      <c r="G23" s="45">
        <v>4196657.6900000004</v>
      </c>
      <c r="H23" s="45">
        <v>0</v>
      </c>
      <c r="I23" s="45">
        <f t="shared" si="0"/>
        <v>366477545.12999994</v>
      </c>
      <c r="K23" s="14"/>
    </row>
    <row r="24" spans="1:11" x14ac:dyDescent="0.25">
      <c r="A24" s="31" t="s">
        <v>46</v>
      </c>
      <c r="B24" s="45">
        <v>2910612.45</v>
      </c>
      <c r="C24" s="45">
        <v>57360748.600000001</v>
      </c>
      <c r="D24" s="45">
        <v>18958485.59</v>
      </c>
      <c r="E24" s="45">
        <v>78762065.269999996</v>
      </c>
      <c r="F24" s="45">
        <v>634331.77</v>
      </c>
      <c r="G24" s="45">
        <v>0</v>
      </c>
      <c r="H24" s="45">
        <v>7223118.9900000002</v>
      </c>
      <c r="I24" s="45">
        <f t="shared" si="0"/>
        <v>165849362.67000002</v>
      </c>
    </row>
    <row r="25" spans="1:11" x14ac:dyDescent="0.25">
      <c r="A25" s="31" t="s">
        <v>47</v>
      </c>
      <c r="B25" s="45">
        <v>5885349.5399999991</v>
      </c>
      <c r="C25" s="45">
        <v>58236762.32</v>
      </c>
      <c r="D25" s="45">
        <v>2511878.62</v>
      </c>
      <c r="E25" s="45">
        <v>66571725.759999998</v>
      </c>
      <c r="F25" s="45">
        <v>1054077.7199999997</v>
      </c>
      <c r="G25" s="45">
        <v>2402971.38</v>
      </c>
      <c r="H25" s="45">
        <v>1552030.0899999999</v>
      </c>
      <c r="I25" s="45">
        <f t="shared" si="0"/>
        <v>138214795.43000001</v>
      </c>
    </row>
    <row r="26" spans="1:11" x14ac:dyDescent="0.25">
      <c r="A26" s="31" t="s">
        <v>48</v>
      </c>
      <c r="B26" s="45">
        <v>12267686</v>
      </c>
      <c r="C26" s="45">
        <v>17836930.330000002</v>
      </c>
      <c r="D26" s="45">
        <v>6724648</v>
      </c>
      <c r="E26" s="45">
        <v>154722604.34</v>
      </c>
      <c r="F26" s="45">
        <v>4144374</v>
      </c>
      <c r="G26" s="45">
        <v>8865739</v>
      </c>
      <c r="H26" s="45">
        <v>6942447</v>
      </c>
      <c r="I26" s="45">
        <f t="shared" si="0"/>
        <v>211504428.67000002</v>
      </c>
    </row>
    <row r="27" spans="1:11" x14ac:dyDescent="0.25">
      <c r="A27" s="31" t="s">
        <v>49</v>
      </c>
      <c r="B27" s="45">
        <v>7775988.1099999994</v>
      </c>
      <c r="C27" s="45">
        <v>17818001.27</v>
      </c>
      <c r="D27" s="45">
        <v>-96021814.729999989</v>
      </c>
      <c r="E27" s="45">
        <v>373126227.28000003</v>
      </c>
      <c r="F27" s="45">
        <v>13316919.129999999</v>
      </c>
      <c r="G27" s="45">
        <v>2970062.6400000006</v>
      </c>
      <c r="H27" s="45">
        <v>15392253.17</v>
      </c>
      <c r="I27" s="45">
        <f t="shared" si="0"/>
        <v>334377636.87000006</v>
      </c>
    </row>
    <row r="28" spans="1:11" ht="12.75" customHeight="1" x14ac:dyDescent="0.25">
      <c r="A28" s="31" t="s">
        <v>50</v>
      </c>
      <c r="B28" s="45">
        <v>2663158.87</v>
      </c>
      <c r="C28" s="45">
        <v>5229285.8999999994</v>
      </c>
      <c r="D28" s="45">
        <v>1186321.6000000001</v>
      </c>
      <c r="E28" s="45">
        <v>49674984.709999993</v>
      </c>
      <c r="F28" s="45">
        <v>0</v>
      </c>
      <c r="G28" s="45">
        <v>0</v>
      </c>
      <c r="H28" s="45">
        <v>0</v>
      </c>
      <c r="I28" s="45">
        <f t="shared" si="0"/>
        <v>58753751.079999991</v>
      </c>
    </row>
    <row r="29" spans="1:11" x14ac:dyDescent="0.25">
      <c r="A29" s="31" t="s">
        <v>51</v>
      </c>
      <c r="B29" s="45">
        <v>4856033.4000000013</v>
      </c>
      <c r="C29" s="45">
        <v>11792607.510000002</v>
      </c>
      <c r="D29" s="45">
        <v>6285676.8899999997</v>
      </c>
      <c r="E29" s="45">
        <v>197586325.94</v>
      </c>
      <c r="F29" s="45">
        <v>7143285.7200000007</v>
      </c>
      <c r="G29" s="45">
        <v>5929106.6999999993</v>
      </c>
      <c r="H29" s="45">
        <v>8674631.1600000001</v>
      </c>
      <c r="I29" s="45">
        <f t="shared" si="0"/>
        <v>242267667.31999999</v>
      </c>
    </row>
    <row r="30" spans="1:11" x14ac:dyDescent="0.25">
      <c r="A30" s="31" t="s">
        <v>52</v>
      </c>
      <c r="B30" s="45">
        <v>790000</v>
      </c>
      <c r="C30" s="45">
        <v>184200489</v>
      </c>
      <c r="D30" s="45">
        <v>12143079</v>
      </c>
      <c r="E30" s="45">
        <v>284273943.12</v>
      </c>
      <c r="F30" s="45">
        <v>701440.92</v>
      </c>
      <c r="G30" s="45">
        <v>0</v>
      </c>
      <c r="H30" s="45">
        <v>5329839</v>
      </c>
      <c r="I30" s="45">
        <f t="shared" si="0"/>
        <v>487438791.04000002</v>
      </c>
    </row>
    <row r="31" spans="1:11" x14ac:dyDescent="0.25">
      <c r="A31" s="31" t="s">
        <v>53</v>
      </c>
      <c r="B31" s="45">
        <v>6384649</v>
      </c>
      <c r="C31" s="45">
        <v>44817420</v>
      </c>
      <c r="D31" s="45">
        <v>8769670</v>
      </c>
      <c r="E31" s="45">
        <v>617575249</v>
      </c>
      <c r="F31" s="45">
        <v>1811742</v>
      </c>
      <c r="G31" s="45">
        <v>18182625</v>
      </c>
      <c r="H31" s="45">
        <v>481943</v>
      </c>
      <c r="I31" s="45">
        <f t="shared" si="0"/>
        <v>698023298</v>
      </c>
    </row>
    <row r="32" spans="1:11" ht="12.75" customHeight="1" x14ac:dyDescent="0.25">
      <c r="A32" s="31" t="s">
        <v>54</v>
      </c>
      <c r="B32" s="45">
        <v>13407480.059999999</v>
      </c>
      <c r="C32" s="45">
        <v>111538358.18000001</v>
      </c>
      <c r="D32" s="45">
        <v>6643933.4800000004</v>
      </c>
      <c r="E32" s="45">
        <v>60613876.039999992</v>
      </c>
      <c r="F32" s="45">
        <v>1081071.3399999999</v>
      </c>
      <c r="G32" s="45">
        <v>0</v>
      </c>
      <c r="H32" s="45">
        <v>13226120.800000001</v>
      </c>
      <c r="I32" s="45">
        <f t="shared" si="0"/>
        <v>206510839.90000001</v>
      </c>
    </row>
    <row r="33" spans="1:13" ht="12.75" customHeight="1" x14ac:dyDescent="0.25">
      <c r="A33" s="31" t="s">
        <v>55</v>
      </c>
      <c r="B33" s="45">
        <v>5135002</v>
      </c>
      <c r="C33" s="45">
        <v>13596183</v>
      </c>
      <c r="D33" s="45">
        <v>-6704217</v>
      </c>
      <c r="E33" s="45">
        <v>155595975</v>
      </c>
      <c r="F33" s="45">
        <v>0</v>
      </c>
      <c r="G33" s="45">
        <v>2399526</v>
      </c>
      <c r="H33" s="45">
        <v>0</v>
      </c>
      <c r="I33" s="45">
        <f t="shared" si="0"/>
        <v>170022469</v>
      </c>
    </row>
    <row r="34" spans="1:13" x14ac:dyDescent="0.25">
      <c r="A34" s="31" t="s">
        <v>56</v>
      </c>
      <c r="B34" s="45">
        <v>1432556.2899999998</v>
      </c>
      <c r="C34" s="45">
        <v>36992688.910000004</v>
      </c>
      <c r="D34" s="45">
        <v>-3465237.51</v>
      </c>
      <c r="E34" s="45">
        <v>252712305.97</v>
      </c>
      <c r="F34" s="45">
        <v>137972.61999999985</v>
      </c>
      <c r="G34" s="45">
        <v>-498637.1399999999</v>
      </c>
      <c r="H34" s="45">
        <v>2292324.5300000003</v>
      </c>
      <c r="I34" s="45">
        <f t="shared" si="0"/>
        <v>289603973.67000002</v>
      </c>
    </row>
    <row r="35" spans="1:13" x14ac:dyDescent="0.25">
      <c r="A35" s="31" t="s">
        <v>57</v>
      </c>
      <c r="B35" s="45">
        <v>3666219.21</v>
      </c>
      <c r="C35" s="45">
        <v>5605237.0199999996</v>
      </c>
      <c r="D35" s="45">
        <v>635600.59999999986</v>
      </c>
      <c r="E35" s="45">
        <v>36451064.860000007</v>
      </c>
      <c r="F35" s="45">
        <v>3592983.9899999998</v>
      </c>
      <c r="G35" s="45">
        <v>822911.1100000001</v>
      </c>
      <c r="H35" s="45">
        <v>3779539</v>
      </c>
      <c r="I35" s="45">
        <f t="shared" si="0"/>
        <v>54553555.790000007</v>
      </c>
    </row>
    <row r="36" spans="1:13" x14ac:dyDescent="0.25">
      <c r="A36" s="31" t="s">
        <v>58</v>
      </c>
      <c r="B36" s="45">
        <v>4404150.7899999991</v>
      </c>
      <c r="C36" s="45">
        <v>6148979.3399999999</v>
      </c>
      <c r="D36" s="45">
        <v>3100776.47</v>
      </c>
      <c r="E36" s="45">
        <v>61512809.899999999</v>
      </c>
      <c r="F36" s="45">
        <v>661844.6</v>
      </c>
      <c r="G36" s="45">
        <v>3972866.4299999997</v>
      </c>
      <c r="H36" s="45">
        <v>77993.31</v>
      </c>
      <c r="I36" s="45">
        <f t="shared" si="0"/>
        <v>79879420.840000004</v>
      </c>
    </row>
    <row r="37" spans="1:13" x14ac:dyDescent="0.25">
      <c r="A37" s="31" t="s">
        <v>59</v>
      </c>
      <c r="B37" s="45">
        <v>7309072.7200000007</v>
      </c>
      <c r="C37" s="45">
        <v>62617528.210000001</v>
      </c>
      <c r="D37" s="45">
        <v>3524466.0600000005</v>
      </c>
      <c r="E37" s="45">
        <v>19109018.120000008</v>
      </c>
      <c r="F37" s="45">
        <v>84527.299999999988</v>
      </c>
      <c r="G37" s="45">
        <v>3699083.95</v>
      </c>
      <c r="H37" s="45">
        <v>1030657.6000000001</v>
      </c>
      <c r="I37" s="45">
        <f t="shared" si="0"/>
        <v>97374353.960000008</v>
      </c>
      <c r="K37" s="14"/>
    </row>
    <row r="38" spans="1:13" ht="12.75" customHeight="1" x14ac:dyDescent="0.25">
      <c r="A38" s="31" t="s">
        <v>60</v>
      </c>
      <c r="B38" s="45">
        <v>1107214.3</v>
      </c>
      <c r="C38" s="45">
        <v>7180185.3500000006</v>
      </c>
      <c r="D38" s="45">
        <v>995604.10000000009</v>
      </c>
      <c r="E38" s="45">
        <v>26977486.410000004</v>
      </c>
      <c r="F38" s="45">
        <v>1468382.98</v>
      </c>
      <c r="G38" s="45">
        <v>1016581.1400000001</v>
      </c>
      <c r="H38" s="45">
        <v>1079780.9500000002</v>
      </c>
      <c r="I38" s="45">
        <f t="shared" si="0"/>
        <v>39825235.230000004</v>
      </c>
    </row>
    <row r="39" spans="1:13" ht="12.75" customHeight="1" x14ac:dyDescent="0.25">
      <c r="A39" s="31" t="s">
        <v>61</v>
      </c>
      <c r="B39" s="45">
        <v>16297850.74</v>
      </c>
      <c r="C39" s="45">
        <v>25614453.419999998</v>
      </c>
      <c r="D39" s="45">
        <v>8483721.6900000013</v>
      </c>
      <c r="E39" s="45">
        <v>583617033.58999991</v>
      </c>
      <c r="F39" s="45">
        <v>1112497.58</v>
      </c>
      <c r="G39" s="45">
        <v>23073652.75</v>
      </c>
      <c r="H39" s="45">
        <v>385781</v>
      </c>
      <c r="I39" s="45">
        <f t="shared" ref="I39:I61" si="1">SUM(B39:H39)</f>
        <v>658584990.76999998</v>
      </c>
      <c r="K39" s="14"/>
    </row>
    <row r="40" spans="1:13" ht="12.75" customHeight="1" x14ac:dyDescent="0.25">
      <c r="A40" s="31" t="s">
        <v>62</v>
      </c>
      <c r="B40" s="45">
        <v>-8000000</v>
      </c>
      <c r="C40" s="45">
        <v>23189782.359999999</v>
      </c>
      <c r="D40" s="45">
        <v>2624962.3699999996</v>
      </c>
      <c r="E40" s="45">
        <v>169307018.59999999</v>
      </c>
      <c r="F40" s="45">
        <v>0</v>
      </c>
      <c r="G40" s="45">
        <v>0</v>
      </c>
      <c r="H40" s="45">
        <v>0</v>
      </c>
      <c r="I40" s="45">
        <f t="shared" si="1"/>
        <v>187121763.32999998</v>
      </c>
      <c r="K40" s="14"/>
    </row>
    <row r="41" spans="1:13" x14ac:dyDescent="0.25">
      <c r="A41" s="31" t="s">
        <v>63</v>
      </c>
      <c r="B41" s="45">
        <v>34721594.25</v>
      </c>
      <c r="C41" s="45">
        <v>166710026.99000001</v>
      </c>
      <c r="D41" s="45">
        <v>31149136.789999999</v>
      </c>
      <c r="E41" s="45">
        <v>562739082.40999985</v>
      </c>
      <c r="F41" s="45">
        <v>4875186.1000000006</v>
      </c>
      <c r="G41" s="45">
        <v>0</v>
      </c>
      <c r="H41" s="45">
        <v>24996753.490000002</v>
      </c>
      <c r="I41" s="45">
        <f t="shared" si="1"/>
        <v>825191780.02999985</v>
      </c>
    </row>
    <row r="42" spans="1:13" ht="12.75" customHeight="1" x14ac:dyDescent="0.25">
      <c r="A42" s="31" t="s">
        <v>64</v>
      </c>
      <c r="B42" s="45">
        <v>19943900</v>
      </c>
      <c r="C42" s="45">
        <v>32535424</v>
      </c>
      <c r="D42" s="45">
        <v>10276677</v>
      </c>
      <c r="E42" s="45">
        <v>350710367.62</v>
      </c>
      <c r="F42" s="45">
        <v>0</v>
      </c>
      <c r="G42" s="45">
        <v>0</v>
      </c>
      <c r="H42" s="45">
        <v>47160801</v>
      </c>
      <c r="I42" s="45">
        <f t="shared" si="1"/>
        <v>460627169.62</v>
      </c>
    </row>
    <row r="43" spans="1:13" ht="12.75" customHeight="1" x14ac:dyDescent="0.25">
      <c r="A43" s="31" t="s">
        <v>65</v>
      </c>
      <c r="B43" s="45">
        <v>815413</v>
      </c>
      <c r="C43" s="45">
        <v>2939795</v>
      </c>
      <c r="D43" s="45">
        <v>525259</v>
      </c>
      <c r="E43" s="45">
        <v>32724713.09</v>
      </c>
      <c r="F43" s="45">
        <v>3996158</v>
      </c>
      <c r="G43" s="45">
        <v>0</v>
      </c>
      <c r="H43" s="45">
        <v>1602220</v>
      </c>
      <c r="I43" s="47">
        <f t="shared" si="1"/>
        <v>42603558.090000004</v>
      </c>
    </row>
    <row r="44" spans="1:13" ht="12.75" customHeight="1" x14ac:dyDescent="0.25">
      <c r="A44" s="31" t="s">
        <v>66</v>
      </c>
      <c r="B44" s="45">
        <v>623872.91999999993</v>
      </c>
      <c r="C44" s="45">
        <v>6214248.96</v>
      </c>
      <c r="D44" s="45">
        <v>1094683</v>
      </c>
      <c r="E44" s="45">
        <v>3786620</v>
      </c>
      <c r="F44" s="45">
        <v>0</v>
      </c>
      <c r="G44" s="45">
        <v>0</v>
      </c>
      <c r="H44" s="45">
        <v>148053</v>
      </c>
      <c r="I44" s="45">
        <f t="shared" si="1"/>
        <v>11867477.879999999</v>
      </c>
      <c r="K44" s="14"/>
    </row>
    <row r="45" spans="1:13" x14ac:dyDescent="0.25">
      <c r="A45" s="31" t="s">
        <v>67</v>
      </c>
      <c r="B45" s="45">
        <v>7899693</v>
      </c>
      <c r="C45" s="45">
        <v>36284841</v>
      </c>
      <c r="D45" s="45">
        <v>14415699</v>
      </c>
      <c r="E45" s="45">
        <v>417388820.92000002</v>
      </c>
      <c r="F45" s="45">
        <v>33161516</v>
      </c>
      <c r="G45" s="45">
        <v>0</v>
      </c>
      <c r="H45" s="45">
        <v>-1497598</v>
      </c>
      <c r="I45" s="45">
        <f t="shared" si="1"/>
        <v>507652971.92000002</v>
      </c>
      <c r="K45" s="14"/>
    </row>
    <row r="46" spans="1:13" ht="12.75" customHeight="1" x14ac:dyDescent="0.25">
      <c r="A46" s="31" t="s">
        <v>68</v>
      </c>
      <c r="B46" s="45">
        <v>11222228</v>
      </c>
      <c r="C46" s="45">
        <v>18472948</v>
      </c>
      <c r="D46" s="45">
        <v>6315833</v>
      </c>
      <c r="E46" s="45">
        <v>207976304</v>
      </c>
      <c r="F46" s="45">
        <v>4859624</v>
      </c>
      <c r="G46" s="45">
        <v>0</v>
      </c>
      <c r="H46" s="45">
        <v>8343745</v>
      </c>
      <c r="I46" s="45">
        <f t="shared" si="1"/>
        <v>257190682</v>
      </c>
    </row>
    <row r="47" spans="1:13" x14ac:dyDescent="0.25">
      <c r="A47" s="31" t="s">
        <v>69</v>
      </c>
      <c r="B47" s="45">
        <v>4799895.04</v>
      </c>
      <c r="C47" s="45">
        <v>32092345.239999995</v>
      </c>
      <c r="D47" s="45">
        <v>6549090.6000000006</v>
      </c>
      <c r="E47" s="45">
        <v>130824510.69000003</v>
      </c>
      <c r="F47" s="45">
        <v>383941.93999999994</v>
      </c>
      <c r="G47" s="45">
        <v>0</v>
      </c>
      <c r="H47" s="45">
        <v>0</v>
      </c>
      <c r="I47" s="45">
        <f t="shared" si="1"/>
        <v>174649783.51000002</v>
      </c>
      <c r="K47" s="14"/>
      <c r="M47" s="61"/>
    </row>
    <row r="48" spans="1:13" ht="12.75" customHeight="1" x14ac:dyDescent="0.25">
      <c r="A48" s="31" t="s">
        <v>70</v>
      </c>
      <c r="B48" s="45">
        <v>18039495.470000003</v>
      </c>
      <c r="C48" s="45">
        <v>63336637.640000001</v>
      </c>
      <c r="D48" s="45">
        <v>39656915.259999998</v>
      </c>
      <c r="E48" s="45">
        <v>399756488.81</v>
      </c>
      <c r="F48" s="45">
        <v>9582563.370000001</v>
      </c>
      <c r="G48" s="45">
        <v>0</v>
      </c>
      <c r="H48" s="45">
        <v>0</v>
      </c>
      <c r="I48" s="45">
        <f t="shared" si="1"/>
        <v>530372100.55000001</v>
      </c>
      <c r="K48" s="13"/>
      <c r="M48" s="61"/>
    </row>
    <row r="49" spans="1:13" ht="12.75" customHeight="1" x14ac:dyDescent="0.25">
      <c r="A49" s="31" t="s">
        <v>71</v>
      </c>
      <c r="B49" s="45">
        <v>4421409</v>
      </c>
      <c r="C49" s="45">
        <v>22274820.399999999</v>
      </c>
      <c r="D49" s="45">
        <v>17068854.399999999</v>
      </c>
      <c r="E49" s="45">
        <v>92744380.920000002</v>
      </c>
      <c r="F49" s="45">
        <v>429060</v>
      </c>
      <c r="G49" s="45">
        <v>-378190</v>
      </c>
      <c r="H49" s="45">
        <v>4577148</v>
      </c>
      <c r="I49" s="45">
        <f t="shared" si="1"/>
        <v>141137482.72</v>
      </c>
      <c r="M49" s="61"/>
    </row>
    <row r="50" spans="1:13" ht="12.75" customHeight="1" x14ac:dyDescent="0.25">
      <c r="A50" s="31" t="s">
        <v>72</v>
      </c>
      <c r="B50" s="45">
        <v>1890995.48</v>
      </c>
      <c r="C50" s="45">
        <v>7373664.0199999958</v>
      </c>
      <c r="D50" s="45">
        <v>1902563.68</v>
      </c>
      <c r="E50" s="45">
        <v>37855922.400000006</v>
      </c>
      <c r="F50" s="45">
        <v>251018.56</v>
      </c>
      <c r="G50" s="45">
        <v>27419.5</v>
      </c>
      <c r="H50" s="45">
        <v>26558.100000000006</v>
      </c>
      <c r="I50" s="45">
        <f t="shared" si="1"/>
        <v>49328141.740000002</v>
      </c>
      <c r="K50" s="14"/>
      <c r="M50" s="61"/>
    </row>
    <row r="51" spans="1:13" ht="12.75" customHeight="1" x14ac:dyDescent="0.25">
      <c r="A51" s="31" t="s">
        <v>73</v>
      </c>
      <c r="B51" s="45">
        <v>4640758</v>
      </c>
      <c r="C51" s="45">
        <v>241600994</v>
      </c>
      <c r="D51" s="45">
        <v>4590047</v>
      </c>
      <c r="E51" s="45">
        <v>-17434542</v>
      </c>
      <c r="F51" s="45">
        <v>2328427</v>
      </c>
      <c r="G51" s="45">
        <v>3071782</v>
      </c>
      <c r="H51" s="45">
        <v>0</v>
      </c>
      <c r="I51" s="45">
        <f t="shared" si="1"/>
        <v>238797466</v>
      </c>
      <c r="M51" s="61"/>
    </row>
    <row r="52" spans="1:13" ht="12.75" customHeight="1" x14ac:dyDescent="0.25">
      <c r="A52" s="31" t="s">
        <v>74</v>
      </c>
      <c r="B52" s="45">
        <v>1551826.8599999999</v>
      </c>
      <c r="C52" s="45">
        <v>2240533.0000000005</v>
      </c>
      <c r="D52" s="45">
        <v>868390.48</v>
      </c>
      <c r="E52" s="45">
        <v>22803772.549999997</v>
      </c>
      <c r="F52" s="45">
        <v>0</v>
      </c>
      <c r="G52" s="45">
        <v>0</v>
      </c>
      <c r="H52" s="45">
        <v>126631.75</v>
      </c>
      <c r="I52" s="45">
        <f t="shared" si="1"/>
        <v>27591154.639999997</v>
      </c>
      <c r="K52" s="14"/>
    </row>
    <row r="53" spans="1:13" x14ac:dyDescent="0.25">
      <c r="A53" s="31" t="s">
        <v>75</v>
      </c>
      <c r="B53" s="45">
        <v>11693232.560000001</v>
      </c>
      <c r="C53" s="45">
        <v>50005888.479999989</v>
      </c>
      <c r="D53" s="45">
        <v>9577551.5199999996</v>
      </c>
      <c r="E53" s="45">
        <v>226378563.90000007</v>
      </c>
      <c r="F53" s="45">
        <v>22032397.690000001</v>
      </c>
      <c r="G53" s="45">
        <v>16140130.010000002</v>
      </c>
      <c r="H53" s="45">
        <v>143367.04999999987</v>
      </c>
      <c r="I53" s="45">
        <f t="shared" si="1"/>
        <v>335971131.21000004</v>
      </c>
    </row>
    <row r="54" spans="1:13" ht="12.75" customHeight="1" x14ac:dyDescent="0.25">
      <c r="A54" s="31" t="s">
        <v>76</v>
      </c>
      <c r="B54" s="45">
        <v>33330507.769999996</v>
      </c>
      <c r="C54" s="45">
        <v>200429780.57999992</v>
      </c>
      <c r="D54" s="45">
        <v>30839546.32</v>
      </c>
      <c r="E54" s="45">
        <v>1042882134.9100001</v>
      </c>
      <c r="F54" s="45">
        <v>9296962.8499999996</v>
      </c>
      <c r="G54" s="45">
        <v>72149268.629999995</v>
      </c>
      <c r="H54" s="45">
        <v>18646234.399999999</v>
      </c>
      <c r="I54" s="45">
        <f t="shared" si="1"/>
        <v>1407574435.46</v>
      </c>
    </row>
    <row r="55" spans="1:13" x14ac:dyDescent="0.25">
      <c r="A55" s="31" t="s">
        <v>77</v>
      </c>
      <c r="B55" s="45">
        <v>3569211</v>
      </c>
      <c r="C55" s="45">
        <v>68283976</v>
      </c>
      <c r="D55" s="45">
        <v>2418175</v>
      </c>
      <c r="E55" s="45">
        <v>100111086</v>
      </c>
      <c r="F55" s="45">
        <v>2436196</v>
      </c>
      <c r="G55" s="45">
        <v>1827476</v>
      </c>
      <c r="H55" s="45">
        <v>725607</v>
      </c>
      <c r="I55" s="45">
        <f t="shared" si="1"/>
        <v>179371727</v>
      </c>
    </row>
    <row r="56" spans="1:13" ht="12.75" customHeight="1" x14ac:dyDescent="0.25">
      <c r="A56" s="31" t="s">
        <v>78</v>
      </c>
      <c r="B56" s="45">
        <v>988690.47000000009</v>
      </c>
      <c r="C56" s="45">
        <v>7721671.1399999978</v>
      </c>
      <c r="D56" s="45">
        <v>1539920.6400000001</v>
      </c>
      <c r="E56" s="45">
        <v>18613845.18</v>
      </c>
      <c r="F56" s="45">
        <v>795195.48999999987</v>
      </c>
      <c r="G56" s="45">
        <v>1291008.6600000001</v>
      </c>
      <c r="H56" s="45">
        <v>2143389.5199999996</v>
      </c>
      <c r="I56" s="45">
        <f t="shared" si="1"/>
        <v>33093721.099999998</v>
      </c>
    </row>
    <row r="57" spans="1:13" x14ac:dyDescent="0.25">
      <c r="A57" s="31" t="s">
        <v>79</v>
      </c>
      <c r="B57" s="45">
        <v>138879.46</v>
      </c>
      <c r="C57" s="45">
        <v>629245.15999999992</v>
      </c>
      <c r="D57" s="45">
        <v>221082.68</v>
      </c>
      <c r="E57" s="45">
        <v>1697524</v>
      </c>
      <c r="F57" s="45">
        <v>348877.92</v>
      </c>
      <c r="G57" s="45">
        <v>0</v>
      </c>
      <c r="H57" s="45">
        <v>0</v>
      </c>
      <c r="I57" s="45">
        <f t="shared" si="1"/>
        <v>3035609.2199999997</v>
      </c>
    </row>
    <row r="58" spans="1:13" x14ac:dyDescent="0.25">
      <c r="A58" s="31" t="s">
        <v>80</v>
      </c>
      <c r="B58" s="45">
        <v>12521839.999999998</v>
      </c>
      <c r="C58" s="45">
        <v>115683444.08999999</v>
      </c>
      <c r="D58" s="45">
        <v>3901571.42</v>
      </c>
      <c r="E58" s="45">
        <v>102004099.06999999</v>
      </c>
      <c r="F58" s="45">
        <v>2911164.7000000007</v>
      </c>
      <c r="G58" s="45">
        <v>25786247.5</v>
      </c>
      <c r="H58" s="45">
        <v>272992.90999999997</v>
      </c>
      <c r="I58" s="45">
        <f t="shared" si="1"/>
        <v>263081359.68999997</v>
      </c>
      <c r="K58" s="30"/>
    </row>
    <row r="59" spans="1:13" ht="12.75" customHeight="1" x14ac:dyDescent="0.25">
      <c r="A59" s="31" t="s">
        <v>81</v>
      </c>
      <c r="B59" s="45">
        <v>11524419.16</v>
      </c>
      <c r="C59" s="45">
        <v>56388975.920000002</v>
      </c>
      <c r="D59" s="45">
        <v>13415777.269999998</v>
      </c>
      <c r="E59" s="45">
        <v>297288033.70000005</v>
      </c>
      <c r="F59" s="45">
        <v>6319746.7400000002</v>
      </c>
      <c r="G59" s="45">
        <v>15828844.890000001</v>
      </c>
      <c r="H59" s="45">
        <v>3942632.2300000004</v>
      </c>
      <c r="I59" s="45">
        <f t="shared" si="1"/>
        <v>404708429.91000009</v>
      </c>
    </row>
    <row r="60" spans="1:13" ht="12.75" customHeight="1" x14ac:dyDescent="0.25">
      <c r="A60" s="31" t="s">
        <v>82</v>
      </c>
      <c r="B60" s="45">
        <v>1157729.47</v>
      </c>
      <c r="C60" s="45">
        <v>13283933.670000004</v>
      </c>
      <c r="D60" s="45">
        <v>1968505.6800000002</v>
      </c>
      <c r="E60" s="45">
        <v>120884356.67</v>
      </c>
      <c r="F60" s="45">
        <v>-665255.07999999961</v>
      </c>
      <c r="G60" s="45">
        <v>7799814.620000001</v>
      </c>
      <c r="H60" s="45">
        <v>0</v>
      </c>
      <c r="I60" s="45">
        <f t="shared" si="1"/>
        <v>144429085.03</v>
      </c>
    </row>
    <row r="61" spans="1:13" ht="12.75" customHeight="1" x14ac:dyDescent="0.25">
      <c r="A61" s="31" t="s">
        <v>83</v>
      </c>
      <c r="B61" s="45">
        <v>12442590.120000001</v>
      </c>
      <c r="C61" s="45">
        <v>34875363.480000004</v>
      </c>
      <c r="D61" s="45">
        <v>7509419.8600000013</v>
      </c>
      <c r="E61" s="45">
        <v>180392003</v>
      </c>
      <c r="F61" s="45">
        <v>3805268.3900000006</v>
      </c>
      <c r="G61" s="45">
        <v>8169027.1299999999</v>
      </c>
      <c r="H61" s="45">
        <v>7908264.1400000006</v>
      </c>
      <c r="I61" s="45">
        <f t="shared" si="1"/>
        <v>255101936.12</v>
      </c>
    </row>
    <row r="62" spans="1:13" x14ac:dyDescent="0.25">
      <c r="A62" s="31" t="s">
        <v>84</v>
      </c>
      <c r="B62" s="45">
        <v>1125009</v>
      </c>
      <c r="C62" s="45">
        <v>1717292</v>
      </c>
      <c r="D62" s="45">
        <v>79542</v>
      </c>
      <c r="E62" s="45">
        <v>17511563.789999999</v>
      </c>
      <c r="F62" s="45">
        <v>2602499</v>
      </c>
      <c r="G62" s="45">
        <v>965921</v>
      </c>
      <c r="H62" s="45">
        <v>308009</v>
      </c>
      <c r="I62" s="45">
        <f>SUM(B62:H62)</f>
        <v>24309835.789999999</v>
      </c>
    </row>
    <row r="63" spans="1:13" ht="13" x14ac:dyDescent="0.3">
      <c r="A63" s="3" t="s">
        <v>16</v>
      </c>
      <c r="B63" s="46">
        <f>SUM(B7:B62)</f>
        <v>435443367.2100001</v>
      </c>
      <c r="C63" s="46">
        <f t="shared" ref="C63:H63" si="2">SUM(C7:C62)</f>
        <v>2942162063.7000003</v>
      </c>
      <c r="D63" s="46">
        <f t="shared" si="2"/>
        <v>476509271</v>
      </c>
      <c r="E63" s="46">
        <f t="shared" si="2"/>
        <v>11408426732.889999</v>
      </c>
      <c r="F63" s="46">
        <f>SUM(F7:F62)</f>
        <v>193716258.58999997</v>
      </c>
      <c r="G63" s="46">
        <f t="shared" si="2"/>
        <v>335419295.89999998</v>
      </c>
      <c r="H63" s="46">
        <f t="shared" si="2"/>
        <v>260039245.34999996</v>
      </c>
      <c r="I63" s="46">
        <f>SUM(I7:I62)</f>
        <v>16051716234.639997</v>
      </c>
    </row>
    <row r="64" spans="1:13" ht="13" x14ac:dyDescent="0.3">
      <c r="A64" s="1"/>
      <c r="B64" s="15"/>
      <c r="C64" s="15"/>
      <c r="D64" s="15"/>
      <c r="E64" s="15"/>
      <c r="F64" s="15"/>
      <c r="G64" s="15"/>
      <c r="H64" s="15"/>
      <c r="I64" s="15"/>
    </row>
    <row r="65" spans="1:9" ht="13" x14ac:dyDescent="0.3">
      <c r="A65" s="16"/>
      <c r="B65" s="53"/>
      <c r="C65" s="53"/>
      <c r="D65" s="53"/>
      <c r="E65" s="53"/>
      <c r="F65" s="60"/>
      <c r="G65" s="53"/>
      <c r="H65" s="53"/>
      <c r="I65" s="62"/>
    </row>
    <row r="66" spans="1:9" x14ac:dyDescent="0.25">
      <c r="A66" s="4" t="s">
        <v>91</v>
      </c>
      <c r="I66" s="24"/>
    </row>
    <row r="67" spans="1:9" x14ac:dyDescent="0.25">
      <c r="F67" s="24"/>
      <c r="I67" s="14"/>
    </row>
    <row r="68" spans="1:9" x14ac:dyDescent="0.25">
      <c r="B68" s="53"/>
      <c r="C68" s="60"/>
      <c r="D68" s="53"/>
      <c r="E68" s="53"/>
      <c r="F68" s="60"/>
      <c r="I68" s="24"/>
    </row>
    <row r="71" spans="1:9" x14ac:dyDescent="0.25">
      <c r="I71" s="14"/>
    </row>
  </sheetData>
  <pageMargins left="0.54" right="0.36" top="0.55000000000000004" bottom="0.6" header="0.3" footer="0.3"/>
  <pageSetup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77"/>
  <sheetViews>
    <sheetView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7" sqref="M7"/>
    </sheetView>
  </sheetViews>
  <sheetFormatPr defaultRowHeight="12.5" x14ac:dyDescent="0.25"/>
  <cols>
    <col min="1" max="1" width="17.1796875" style="4" customWidth="1"/>
    <col min="2" max="3" width="18.26953125" style="4" bestFit="1" customWidth="1"/>
    <col min="4" max="4" width="17.1796875" style="4" bestFit="1" customWidth="1"/>
    <col min="5" max="5" width="18.54296875" style="4" bestFit="1" customWidth="1"/>
    <col min="6" max="7" width="16.54296875" style="4" bestFit="1" customWidth="1"/>
    <col min="8" max="8" width="18.54296875" style="4" bestFit="1" customWidth="1"/>
    <col min="9" max="9" width="13.81640625" style="4" bestFit="1" customWidth="1"/>
    <col min="10" max="10" width="16.26953125" style="4" bestFit="1" customWidth="1"/>
    <col min="11" max="12" width="19.7265625" style="4" bestFit="1" customWidth="1"/>
    <col min="13" max="13" width="9.1796875" style="4"/>
    <col min="14" max="14" width="11.7265625" style="4" bestFit="1" customWidth="1"/>
    <col min="15" max="259" width="9.1796875" style="4"/>
    <col min="260" max="260" width="17.1796875" style="4" customWidth="1"/>
    <col min="261" max="261" width="16.7265625" style="4" customWidth="1"/>
    <col min="262" max="263" width="15.81640625" style="4" customWidth="1"/>
    <col min="264" max="264" width="15.7265625" style="4" customWidth="1"/>
    <col min="265" max="265" width="14.54296875" style="4" customWidth="1"/>
    <col min="266" max="266" width="14.26953125" style="4" customWidth="1"/>
    <col min="267" max="267" width="9.1796875" style="4"/>
    <col min="268" max="268" width="14.453125" style="4" bestFit="1" customWidth="1"/>
    <col min="269" max="515" width="9.1796875" style="4"/>
    <col min="516" max="516" width="17.1796875" style="4" customWidth="1"/>
    <col min="517" max="517" width="16.7265625" style="4" customWidth="1"/>
    <col min="518" max="519" width="15.81640625" style="4" customWidth="1"/>
    <col min="520" max="520" width="15.7265625" style="4" customWidth="1"/>
    <col min="521" max="521" width="14.54296875" style="4" customWidth="1"/>
    <col min="522" max="522" width="14.26953125" style="4" customWidth="1"/>
    <col min="523" max="523" width="9.1796875" style="4"/>
    <col min="524" max="524" width="14.453125" style="4" bestFit="1" customWidth="1"/>
    <col min="525" max="771" width="9.1796875" style="4"/>
    <col min="772" max="772" width="17.1796875" style="4" customWidth="1"/>
    <col min="773" max="773" width="16.7265625" style="4" customWidth="1"/>
    <col min="774" max="775" width="15.81640625" style="4" customWidth="1"/>
    <col min="776" max="776" width="15.7265625" style="4" customWidth="1"/>
    <col min="777" max="777" width="14.54296875" style="4" customWidth="1"/>
    <col min="778" max="778" width="14.26953125" style="4" customWidth="1"/>
    <col min="779" max="779" width="9.1796875" style="4"/>
    <col min="780" max="780" width="14.453125" style="4" bestFit="1" customWidth="1"/>
    <col min="781" max="1027" width="9.1796875" style="4"/>
    <col min="1028" max="1028" width="17.1796875" style="4" customWidth="1"/>
    <col min="1029" max="1029" width="16.7265625" style="4" customWidth="1"/>
    <col min="1030" max="1031" width="15.81640625" style="4" customWidth="1"/>
    <col min="1032" max="1032" width="15.7265625" style="4" customWidth="1"/>
    <col min="1033" max="1033" width="14.54296875" style="4" customWidth="1"/>
    <col min="1034" max="1034" width="14.26953125" style="4" customWidth="1"/>
    <col min="1035" max="1035" width="9.1796875" style="4"/>
    <col min="1036" max="1036" width="14.453125" style="4" bestFit="1" customWidth="1"/>
    <col min="1037" max="1283" width="9.1796875" style="4"/>
    <col min="1284" max="1284" width="17.1796875" style="4" customWidth="1"/>
    <col min="1285" max="1285" width="16.7265625" style="4" customWidth="1"/>
    <col min="1286" max="1287" width="15.81640625" style="4" customWidth="1"/>
    <col min="1288" max="1288" width="15.7265625" style="4" customWidth="1"/>
    <col min="1289" max="1289" width="14.54296875" style="4" customWidth="1"/>
    <col min="1290" max="1290" width="14.26953125" style="4" customWidth="1"/>
    <col min="1291" max="1291" width="9.1796875" style="4"/>
    <col min="1292" max="1292" width="14.453125" style="4" bestFit="1" customWidth="1"/>
    <col min="1293" max="1539" width="9.1796875" style="4"/>
    <col min="1540" max="1540" width="17.1796875" style="4" customWidth="1"/>
    <col min="1541" max="1541" width="16.7265625" style="4" customWidth="1"/>
    <col min="1542" max="1543" width="15.81640625" style="4" customWidth="1"/>
    <col min="1544" max="1544" width="15.7265625" style="4" customWidth="1"/>
    <col min="1545" max="1545" width="14.54296875" style="4" customWidth="1"/>
    <col min="1546" max="1546" width="14.26953125" style="4" customWidth="1"/>
    <col min="1547" max="1547" width="9.1796875" style="4"/>
    <col min="1548" max="1548" width="14.453125" style="4" bestFit="1" customWidth="1"/>
    <col min="1549" max="1795" width="9.1796875" style="4"/>
    <col min="1796" max="1796" width="17.1796875" style="4" customWidth="1"/>
    <col min="1797" max="1797" width="16.7265625" style="4" customWidth="1"/>
    <col min="1798" max="1799" width="15.81640625" style="4" customWidth="1"/>
    <col min="1800" max="1800" width="15.7265625" style="4" customWidth="1"/>
    <col min="1801" max="1801" width="14.54296875" style="4" customWidth="1"/>
    <col min="1802" max="1802" width="14.26953125" style="4" customWidth="1"/>
    <col min="1803" max="1803" width="9.1796875" style="4"/>
    <col min="1804" max="1804" width="14.453125" style="4" bestFit="1" customWidth="1"/>
    <col min="1805" max="2051" width="9.1796875" style="4"/>
    <col min="2052" max="2052" width="17.1796875" style="4" customWidth="1"/>
    <col min="2053" max="2053" width="16.7265625" style="4" customWidth="1"/>
    <col min="2054" max="2055" width="15.81640625" style="4" customWidth="1"/>
    <col min="2056" max="2056" width="15.7265625" style="4" customWidth="1"/>
    <col min="2057" max="2057" width="14.54296875" style="4" customWidth="1"/>
    <col min="2058" max="2058" width="14.26953125" style="4" customWidth="1"/>
    <col min="2059" max="2059" width="9.1796875" style="4"/>
    <col min="2060" max="2060" width="14.453125" style="4" bestFit="1" customWidth="1"/>
    <col min="2061" max="2307" width="9.1796875" style="4"/>
    <col min="2308" max="2308" width="17.1796875" style="4" customWidth="1"/>
    <col min="2309" max="2309" width="16.7265625" style="4" customWidth="1"/>
    <col min="2310" max="2311" width="15.81640625" style="4" customWidth="1"/>
    <col min="2312" max="2312" width="15.7265625" style="4" customWidth="1"/>
    <col min="2313" max="2313" width="14.54296875" style="4" customWidth="1"/>
    <col min="2314" max="2314" width="14.26953125" style="4" customWidth="1"/>
    <col min="2315" max="2315" width="9.1796875" style="4"/>
    <col min="2316" max="2316" width="14.453125" style="4" bestFit="1" customWidth="1"/>
    <col min="2317" max="2563" width="9.1796875" style="4"/>
    <col min="2564" max="2564" width="17.1796875" style="4" customWidth="1"/>
    <col min="2565" max="2565" width="16.7265625" style="4" customWidth="1"/>
    <col min="2566" max="2567" width="15.81640625" style="4" customWidth="1"/>
    <col min="2568" max="2568" width="15.7265625" style="4" customWidth="1"/>
    <col min="2569" max="2569" width="14.54296875" style="4" customWidth="1"/>
    <col min="2570" max="2570" width="14.26953125" style="4" customWidth="1"/>
    <col min="2571" max="2571" width="9.1796875" style="4"/>
    <col min="2572" max="2572" width="14.453125" style="4" bestFit="1" customWidth="1"/>
    <col min="2573" max="2819" width="9.1796875" style="4"/>
    <col min="2820" max="2820" width="17.1796875" style="4" customWidth="1"/>
    <col min="2821" max="2821" width="16.7265625" style="4" customWidth="1"/>
    <col min="2822" max="2823" width="15.81640625" style="4" customWidth="1"/>
    <col min="2824" max="2824" width="15.7265625" style="4" customWidth="1"/>
    <col min="2825" max="2825" width="14.54296875" style="4" customWidth="1"/>
    <col min="2826" max="2826" width="14.26953125" style="4" customWidth="1"/>
    <col min="2827" max="2827" width="9.1796875" style="4"/>
    <col min="2828" max="2828" width="14.453125" style="4" bestFit="1" customWidth="1"/>
    <col min="2829" max="3075" width="9.1796875" style="4"/>
    <col min="3076" max="3076" width="17.1796875" style="4" customWidth="1"/>
    <col min="3077" max="3077" width="16.7265625" style="4" customWidth="1"/>
    <col min="3078" max="3079" width="15.81640625" style="4" customWidth="1"/>
    <col min="3080" max="3080" width="15.7265625" style="4" customWidth="1"/>
    <col min="3081" max="3081" width="14.54296875" style="4" customWidth="1"/>
    <col min="3082" max="3082" width="14.26953125" style="4" customWidth="1"/>
    <col min="3083" max="3083" width="9.1796875" style="4"/>
    <col min="3084" max="3084" width="14.453125" style="4" bestFit="1" customWidth="1"/>
    <col min="3085" max="3331" width="9.1796875" style="4"/>
    <col min="3332" max="3332" width="17.1796875" style="4" customWidth="1"/>
    <col min="3333" max="3333" width="16.7265625" style="4" customWidth="1"/>
    <col min="3334" max="3335" width="15.81640625" style="4" customWidth="1"/>
    <col min="3336" max="3336" width="15.7265625" style="4" customWidth="1"/>
    <col min="3337" max="3337" width="14.54296875" style="4" customWidth="1"/>
    <col min="3338" max="3338" width="14.26953125" style="4" customWidth="1"/>
    <col min="3339" max="3339" width="9.1796875" style="4"/>
    <col min="3340" max="3340" width="14.453125" style="4" bestFit="1" customWidth="1"/>
    <col min="3341" max="3587" width="9.1796875" style="4"/>
    <col min="3588" max="3588" width="17.1796875" style="4" customWidth="1"/>
    <col min="3589" max="3589" width="16.7265625" style="4" customWidth="1"/>
    <col min="3590" max="3591" width="15.81640625" style="4" customWidth="1"/>
    <col min="3592" max="3592" width="15.7265625" style="4" customWidth="1"/>
    <col min="3593" max="3593" width="14.54296875" style="4" customWidth="1"/>
    <col min="3594" max="3594" width="14.26953125" style="4" customWidth="1"/>
    <col min="3595" max="3595" width="9.1796875" style="4"/>
    <col min="3596" max="3596" width="14.453125" style="4" bestFit="1" customWidth="1"/>
    <col min="3597" max="3843" width="9.1796875" style="4"/>
    <col min="3844" max="3844" width="17.1796875" style="4" customWidth="1"/>
    <col min="3845" max="3845" width="16.7265625" style="4" customWidth="1"/>
    <col min="3846" max="3847" width="15.81640625" style="4" customWidth="1"/>
    <col min="3848" max="3848" width="15.7265625" style="4" customWidth="1"/>
    <col min="3849" max="3849" width="14.54296875" style="4" customWidth="1"/>
    <col min="3850" max="3850" width="14.26953125" style="4" customWidth="1"/>
    <col min="3851" max="3851" width="9.1796875" style="4"/>
    <col min="3852" max="3852" width="14.453125" style="4" bestFit="1" customWidth="1"/>
    <col min="3853" max="4099" width="9.1796875" style="4"/>
    <col min="4100" max="4100" width="17.1796875" style="4" customWidth="1"/>
    <col min="4101" max="4101" width="16.7265625" style="4" customWidth="1"/>
    <col min="4102" max="4103" width="15.81640625" style="4" customWidth="1"/>
    <col min="4104" max="4104" width="15.7265625" style="4" customWidth="1"/>
    <col min="4105" max="4105" width="14.54296875" style="4" customWidth="1"/>
    <col min="4106" max="4106" width="14.26953125" style="4" customWidth="1"/>
    <col min="4107" max="4107" width="9.1796875" style="4"/>
    <col min="4108" max="4108" width="14.453125" style="4" bestFit="1" customWidth="1"/>
    <col min="4109" max="4355" width="9.1796875" style="4"/>
    <col min="4356" max="4356" width="17.1796875" style="4" customWidth="1"/>
    <col min="4357" max="4357" width="16.7265625" style="4" customWidth="1"/>
    <col min="4358" max="4359" width="15.81640625" style="4" customWidth="1"/>
    <col min="4360" max="4360" width="15.7265625" style="4" customWidth="1"/>
    <col min="4361" max="4361" width="14.54296875" style="4" customWidth="1"/>
    <col min="4362" max="4362" width="14.26953125" style="4" customWidth="1"/>
    <col min="4363" max="4363" width="9.1796875" style="4"/>
    <col min="4364" max="4364" width="14.453125" style="4" bestFit="1" customWidth="1"/>
    <col min="4365" max="4611" width="9.1796875" style="4"/>
    <col min="4612" max="4612" width="17.1796875" style="4" customWidth="1"/>
    <col min="4613" max="4613" width="16.7265625" style="4" customWidth="1"/>
    <col min="4614" max="4615" width="15.81640625" style="4" customWidth="1"/>
    <col min="4616" max="4616" width="15.7265625" style="4" customWidth="1"/>
    <col min="4617" max="4617" width="14.54296875" style="4" customWidth="1"/>
    <col min="4618" max="4618" width="14.26953125" style="4" customWidth="1"/>
    <col min="4619" max="4619" width="9.1796875" style="4"/>
    <col min="4620" max="4620" width="14.453125" style="4" bestFit="1" customWidth="1"/>
    <col min="4621" max="4867" width="9.1796875" style="4"/>
    <col min="4868" max="4868" width="17.1796875" style="4" customWidth="1"/>
    <col min="4869" max="4869" width="16.7265625" style="4" customWidth="1"/>
    <col min="4870" max="4871" width="15.81640625" style="4" customWidth="1"/>
    <col min="4872" max="4872" width="15.7265625" style="4" customWidth="1"/>
    <col min="4873" max="4873" width="14.54296875" style="4" customWidth="1"/>
    <col min="4874" max="4874" width="14.26953125" style="4" customWidth="1"/>
    <col min="4875" max="4875" width="9.1796875" style="4"/>
    <col min="4876" max="4876" width="14.453125" style="4" bestFit="1" customWidth="1"/>
    <col min="4877" max="5123" width="9.1796875" style="4"/>
    <col min="5124" max="5124" width="17.1796875" style="4" customWidth="1"/>
    <col min="5125" max="5125" width="16.7265625" style="4" customWidth="1"/>
    <col min="5126" max="5127" width="15.81640625" style="4" customWidth="1"/>
    <col min="5128" max="5128" width="15.7265625" style="4" customWidth="1"/>
    <col min="5129" max="5129" width="14.54296875" style="4" customWidth="1"/>
    <col min="5130" max="5130" width="14.26953125" style="4" customWidth="1"/>
    <col min="5131" max="5131" width="9.1796875" style="4"/>
    <col min="5132" max="5132" width="14.453125" style="4" bestFit="1" customWidth="1"/>
    <col min="5133" max="5379" width="9.1796875" style="4"/>
    <col min="5380" max="5380" width="17.1796875" style="4" customWidth="1"/>
    <col min="5381" max="5381" width="16.7265625" style="4" customWidth="1"/>
    <col min="5382" max="5383" width="15.81640625" style="4" customWidth="1"/>
    <col min="5384" max="5384" width="15.7265625" style="4" customWidth="1"/>
    <col min="5385" max="5385" width="14.54296875" style="4" customWidth="1"/>
    <col min="5386" max="5386" width="14.26953125" style="4" customWidth="1"/>
    <col min="5387" max="5387" width="9.1796875" style="4"/>
    <col min="5388" max="5388" width="14.453125" style="4" bestFit="1" customWidth="1"/>
    <col min="5389" max="5635" width="9.1796875" style="4"/>
    <col min="5636" max="5636" width="17.1796875" style="4" customWidth="1"/>
    <col min="5637" max="5637" width="16.7265625" style="4" customWidth="1"/>
    <col min="5638" max="5639" width="15.81640625" style="4" customWidth="1"/>
    <col min="5640" max="5640" width="15.7265625" style="4" customWidth="1"/>
    <col min="5641" max="5641" width="14.54296875" style="4" customWidth="1"/>
    <col min="5642" max="5642" width="14.26953125" style="4" customWidth="1"/>
    <col min="5643" max="5643" width="9.1796875" style="4"/>
    <col min="5644" max="5644" width="14.453125" style="4" bestFit="1" customWidth="1"/>
    <col min="5645" max="5891" width="9.1796875" style="4"/>
    <col min="5892" max="5892" width="17.1796875" style="4" customWidth="1"/>
    <col min="5893" max="5893" width="16.7265625" style="4" customWidth="1"/>
    <col min="5894" max="5895" width="15.81640625" style="4" customWidth="1"/>
    <col min="5896" max="5896" width="15.7265625" style="4" customWidth="1"/>
    <col min="5897" max="5897" width="14.54296875" style="4" customWidth="1"/>
    <col min="5898" max="5898" width="14.26953125" style="4" customWidth="1"/>
    <col min="5899" max="5899" width="9.1796875" style="4"/>
    <col min="5900" max="5900" width="14.453125" style="4" bestFit="1" customWidth="1"/>
    <col min="5901" max="6147" width="9.1796875" style="4"/>
    <col min="6148" max="6148" width="17.1796875" style="4" customWidth="1"/>
    <col min="6149" max="6149" width="16.7265625" style="4" customWidth="1"/>
    <col min="6150" max="6151" width="15.81640625" style="4" customWidth="1"/>
    <col min="6152" max="6152" width="15.7265625" style="4" customWidth="1"/>
    <col min="6153" max="6153" width="14.54296875" style="4" customWidth="1"/>
    <col min="6154" max="6154" width="14.26953125" style="4" customWidth="1"/>
    <col min="6155" max="6155" width="9.1796875" style="4"/>
    <col min="6156" max="6156" width="14.453125" style="4" bestFit="1" customWidth="1"/>
    <col min="6157" max="6403" width="9.1796875" style="4"/>
    <col min="6404" max="6404" width="17.1796875" style="4" customWidth="1"/>
    <col min="6405" max="6405" width="16.7265625" style="4" customWidth="1"/>
    <col min="6406" max="6407" width="15.81640625" style="4" customWidth="1"/>
    <col min="6408" max="6408" width="15.7265625" style="4" customWidth="1"/>
    <col min="6409" max="6409" width="14.54296875" style="4" customWidth="1"/>
    <col min="6410" max="6410" width="14.26953125" style="4" customWidth="1"/>
    <col min="6411" max="6411" width="9.1796875" style="4"/>
    <col min="6412" max="6412" width="14.453125" style="4" bestFit="1" customWidth="1"/>
    <col min="6413" max="6659" width="9.1796875" style="4"/>
    <col min="6660" max="6660" width="17.1796875" style="4" customWidth="1"/>
    <col min="6661" max="6661" width="16.7265625" style="4" customWidth="1"/>
    <col min="6662" max="6663" width="15.81640625" style="4" customWidth="1"/>
    <col min="6664" max="6664" width="15.7265625" style="4" customWidth="1"/>
    <col min="6665" max="6665" width="14.54296875" style="4" customWidth="1"/>
    <col min="6666" max="6666" width="14.26953125" style="4" customWidth="1"/>
    <col min="6667" max="6667" width="9.1796875" style="4"/>
    <col min="6668" max="6668" width="14.453125" style="4" bestFit="1" customWidth="1"/>
    <col min="6669" max="6915" width="9.1796875" style="4"/>
    <col min="6916" max="6916" width="17.1796875" style="4" customWidth="1"/>
    <col min="6917" max="6917" width="16.7265625" style="4" customWidth="1"/>
    <col min="6918" max="6919" width="15.81640625" style="4" customWidth="1"/>
    <col min="6920" max="6920" width="15.7265625" style="4" customWidth="1"/>
    <col min="6921" max="6921" width="14.54296875" style="4" customWidth="1"/>
    <col min="6922" max="6922" width="14.26953125" style="4" customWidth="1"/>
    <col min="6923" max="6923" width="9.1796875" style="4"/>
    <col min="6924" max="6924" width="14.453125" style="4" bestFit="1" customWidth="1"/>
    <col min="6925" max="7171" width="9.1796875" style="4"/>
    <col min="7172" max="7172" width="17.1796875" style="4" customWidth="1"/>
    <col min="7173" max="7173" width="16.7265625" style="4" customWidth="1"/>
    <col min="7174" max="7175" width="15.81640625" style="4" customWidth="1"/>
    <col min="7176" max="7176" width="15.7265625" style="4" customWidth="1"/>
    <col min="7177" max="7177" width="14.54296875" style="4" customWidth="1"/>
    <col min="7178" max="7178" width="14.26953125" style="4" customWidth="1"/>
    <col min="7179" max="7179" width="9.1796875" style="4"/>
    <col min="7180" max="7180" width="14.453125" style="4" bestFit="1" customWidth="1"/>
    <col min="7181" max="7427" width="9.1796875" style="4"/>
    <col min="7428" max="7428" width="17.1796875" style="4" customWidth="1"/>
    <col min="7429" max="7429" width="16.7265625" style="4" customWidth="1"/>
    <col min="7430" max="7431" width="15.81640625" style="4" customWidth="1"/>
    <col min="7432" max="7432" width="15.7265625" style="4" customWidth="1"/>
    <col min="7433" max="7433" width="14.54296875" style="4" customWidth="1"/>
    <col min="7434" max="7434" width="14.26953125" style="4" customWidth="1"/>
    <col min="7435" max="7435" width="9.1796875" style="4"/>
    <col min="7436" max="7436" width="14.453125" style="4" bestFit="1" customWidth="1"/>
    <col min="7437" max="7683" width="9.1796875" style="4"/>
    <col min="7684" max="7684" width="17.1796875" style="4" customWidth="1"/>
    <col min="7685" max="7685" width="16.7265625" style="4" customWidth="1"/>
    <col min="7686" max="7687" width="15.81640625" style="4" customWidth="1"/>
    <col min="7688" max="7688" width="15.7265625" style="4" customWidth="1"/>
    <col min="7689" max="7689" width="14.54296875" style="4" customWidth="1"/>
    <col min="7690" max="7690" width="14.26953125" style="4" customWidth="1"/>
    <col min="7691" max="7691" width="9.1796875" style="4"/>
    <col min="7692" max="7692" width="14.453125" style="4" bestFit="1" customWidth="1"/>
    <col min="7693" max="7939" width="9.1796875" style="4"/>
    <col min="7940" max="7940" width="17.1796875" style="4" customWidth="1"/>
    <col min="7941" max="7941" width="16.7265625" style="4" customWidth="1"/>
    <col min="7942" max="7943" width="15.81640625" style="4" customWidth="1"/>
    <col min="7944" max="7944" width="15.7265625" style="4" customWidth="1"/>
    <col min="7945" max="7945" width="14.54296875" style="4" customWidth="1"/>
    <col min="7946" max="7946" width="14.26953125" style="4" customWidth="1"/>
    <col min="7947" max="7947" width="9.1796875" style="4"/>
    <col min="7948" max="7948" width="14.453125" style="4" bestFit="1" customWidth="1"/>
    <col min="7949" max="8195" width="9.1796875" style="4"/>
    <col min="8196" max="8196" width="17.1796875" style="4" customWidth="1"/>
    <col min="8197" max="8197" width="16.7265625" style="4" customWidth="1"/>
    <col min="8198" max="8199" width="15.81640625" style="4" customWidth="1"/>
    <col min="8200" max="8200" width="15.7265625" style="4" customWidth="1"/>
    <col min="8201" max="8201" width="14.54296875" style="4" customWidth="1"/>
    <col min="8202" max="8202" width="14.26953125" style="4" customWidth="1"/>
    <col min="8203" max="8203" width="9.1796875" style="4"/>
    <col min="8204" max="8204" width="14.453125" style="4" bestFit="1" customWidth="1"/>
    <col min="8205" max="8451" width="9.1796875" style="4"/>
    <col min="8452" max="8452" width="17.1796875" style="4" customWidth="1"/>
    <col min="8453" max="8453" width="16.7265625" style="4" customWidth="1"/>
    <col min="8454" max="8455" width="15.81640625" style="4" customWidth="1"/>
    <col min="8456" max="8456" width="15.7265625" style="4" customWidth="1"/>
    <col min="8457" max="8457" width="14.54296875" style="4" customWidth="1"/>
    <col min="8458" max="8458" width="14.26953125" style="4" customWidth="1"/>
    <col min="8459" max="8459" width="9.1796875" style="4"/>
    <col min="8460" max="8460" width="14.453125" style="4" bestFit="1" customWidth="1"/>
    <col min="8461" max="8707" width="9.1796875" style="4"/>
    <col min="8708" max="8708" width="17.1796875" style="4" customWidth="1"/>
    <col min="8709" max="8709" width="16.7265625" style="4" customWidth="1"/>
    <col min="8710" max="8711" width="15.81640625" style="4" customWidth="1"/>
    <col min="8712" max="8712" width="15.7265625" style="4" customWidth="1"/>
    <col min="8713" max="8713" width="14.54296875" style="4" customWidth="1"/>
    <col min="8714" max="8714" width="14.26953125" style="4" customWidth="1"/>
    <col min="8715" max="8715" width="9.1796875" style="4"/>
    <col min="8716" max="8716" width="14.453125" style="4" bestFit="1" customWidth="1"/>
    <col min="8717" max="8963" width="9.1796875" style="4"/>
    <col min="8964" max="8964" width="17.1796875" style="4" customWidth="1"/>
    <col min="8965" max="8965" width="16.7265625" style="4" customWidth="1"/>
    <col min="8966" max="8967" width="15.81640625" style="4" customWidth="1"/>
    <col min="8968" max="8968" width="15.7265625" style="4" customWidth="1"/>
    <col min="8969" max="8969" width="14.54296875" style="4" customWidth="1"/>
    <col min="8970" max="8970" width="14.26953125" style="4" customWidth="1"/>
    <col min="8971" max="8971" width="9.1796875" style="4"/>
    <col min="8972" max="8972" width="14.453125" style="4" bestFit="1" customWidth="1"/>
    <col min="8973" max="9219" width="9.1796875" style="4"/>
    <col min="9220" max="9220" width="17.1796875" style="4" customWidth="1"/>
    <col min="9221" max="9221" width="16.7265625" style="4" customWidth="1"/>
    <col min="9222" max="9223" width="15.81640625" style="4" customWidth="1"/>
    <col min="9224" max="9224" width="15.7265625" style="4" customWidth="1"/>
    <col min="9225" max="9225" width="14.54296875" style="4" customWidth="1"/>
    <col min="9226" max="9226" width="14.26953125" style="4" customWidth="1"/>
    <col min="9227" max="9227" width="9.1796875" style="4"/>
    <col min="9228" max="9228" width="14.453125" style="4" bestFit="1" customWidth="1"/>
    <col min="9229" max="9475" width="9.1796875" style="4"/>
    <col min="9476" max="9476" width="17.1796875" style="4" customWidth="1"/>
    <col min="9477" max="9477" width="16.7265625" style="4" customWidth="1"/>
    <col min="9478" max="9479" width="15.81640625" style="4" customWidth="1"/>
    <col min="9480" max="9480" width="15.7265625" style="4" customWidth="1"/>
    <col min="9481" max="9481" width="14.54296875" style="4" customWidth="1"/>
    <col min="9482" max="9482" width="14.26953125" style="4" customWidth="1"/>
    <col min="9483" max="9483" width="9.1796875" style="4"/>
    <col min="9484" max="9484" width="14.453125" style="4" bestFit="1" customWidth="1"/>
    <col min="9485" max="9731" width="9.1796875" style="4"/>
    <col min="9732" max="9732" width="17.1796875" style="4" customWidth="1"/>
    <col min="9733" max="9733" width="16.7265625" style="4" customWidth="1"/>
    <col min="9734" max="9735" width="15.81640625" style="4" customWidth="1"/>
    <col min="9736" max="9736" width="15.7265625" style="4" customWidth="1"/>
    <col min="9737" max="9737" width="14.54296875" style="4" customWidth="1"/>
    <col min="9738" max="9738" width="14.26953125" style="4" customWidth="1"/>
    <col min="9739" max="9739" width="9.1796875" style="4"/>
    <col min="9740" max="9740" width="14.453125" style="4" bestFit="1" customWidth="1"/>
    <col min="9741" max="9987" width="9.1796875" style="4"/>
    <col min="9988" max="9988" width="17.1796875" style="4" customWidth="1"/>
    <col min="9989" max="9989" width="16.7265625" style="4" customWidth="1"/>
    <col min="9990" max="9991" width="15.81640625" style="4" customWidth="1"/>
    <col min="9992" max="9992" width="15.7265625" style="4" customWidth="1"/>
    <col min="9993" max="9993" width="14.54296875" style="4" customWidth="1"/>
    <col min="9994" max="9994" width="14.26953125" style="4" customWidth="1"/>
    <col min="9995" max="9995" width="9.1796875" style="4"/>
    <col min="9996" max="9996" width="14.453125" style="4" bestFit="1" customWidth="1"/>
    <col min="9997" max="10243" width="9.1796875" style="4"/>
    <col min="10244" max="10244" width="17.1796875" style="4" customWidth="1"/>
    <col min="10245" max="10245" width="16.7265625" style="4" customWidth="1"/>
    <col min="10246" max="10247" width="15.81640625" style="4" customWidth="1"/>
    <col min="10248" max="10248" width="15.7265625" style="4" customWidth="1"/>
    <col min="10249" max="10249" width="14.54296875" style="4" customWidth="1"/>
    <col min="10250" max="10250" width="14.26953125" style="4" customWidth="1"/>
    <col min="10251" max="10251" width="9.1796875" style="4"/>
    <col min="10252" max="10252" width="14.453125" style="4" bestFit="1" customWidth="1"/>
    <col min="10253" max="10499" width="9.1796875" style="4"/>
    <col min="10500" max="10500" width="17.1796875" style="4" customWidth="1"/>
    <col min="10501" max="10501" width="16.7265625" style="4" customWidth="1"/>
    <col min="10502" max="10503" width="15.81640625" style="4" customWidth="1"/>
    <col min="10504" max="10504" width="15.7265625" style="4" customWidth="1"/>
    <col min="10505" max="10505" width="14.54296875" style="4" customWidth="1"/>
    <col min="10506" max="10506" width="14.26953125" style="4" customWidth="1"/>
    <col min="10507" max="10507" width="9.1796875" style="4"/>
    <col min="10508" max="10508" width="14.453125" style="4" bestFit="1" customWidth="1"/>
    <col min="10509" max="10755" width="9.1796875" style="4"/>
    <col min="10756" max="10756" width="17.1796875" style="4" customWidth="1"/>
    <col min="10757" max="10757" width="16.7265625" style="4" customWidth="1"/>
    <col min="10758" max="10759" width="15.81640625" style="4" customWidth="1"/>
    <col min="10760" max="10760" width="15.7265625" style="4" customWidth="1"/>
    <col min="10761" max="10761" width="14.54296875" style="4" customWidth="1"/>
    <col min="10762" max="10762" width="14.26953125" style="4" customWidth="1"/>
    <col min="10763" max="10763" width="9.1796875" style="4"/>
    <col min="10764" max="10764" width="14.453125" style="4" bestFit="1" customWidth="1"/>
    <col min="10765" max="11011" width="9.1796875" style="4"/>
    <col min="11012" max="11012" width="17.1796875" style="4" customWidth="1"/>
    <col min="11013" max="11013" width="16.7265625" style="4" customWidth="1"/>
    <col min="11014" max="11015" width="15.81640625" style="4" customWidth="1"/>
    <col min="11016" max="11016" width="15.7265625" style="4" customWidth="1"/>
    <col min="11017" max="11017" width="14.54296875" style="4" customWidth="1"/>
    <col min="11018" max="11018" width="14.26953125" style="4" customWidth="1"/>
    <col min="11019" max="11019" width="9.1796875" style="4"/>
    <col min="11020" max="11020" width="14.453125" style="4" bestFit="1" customWidth="1"/>
    <col min="11021" max="11267" width="9.1796875" style="4"/>
    <col min="11268" max="11268" width="17.1796875" style="4" customWidth="1"/>
    <col min="11269" max="11269" width="16.7265625" style="4" customWidth="1"/>
    <col min="11270" max="11271" width="15.81640625" style="4" customWidth="1"/>
    <col min="11272" max="11272" width="15.7265625" style="4" customWidth="1"/>
    <col min="11273" max="11273" width="14.54296875" style="4" customWidth="1"/>
    <col min="11274" max="11274" width="14.26953125" style="4" customWidth="1"/>
    <col min="11275" max="11275" width="9.1796875" style="4"/>
    <col min="11276" max="11276" width="14.453125" style="4" bestFit="1" customWidth="1"/>
    <col min="11277" max="11523" width="9.1796875" style="4"/>
    <col min="11524" max="11524" width="17.1796875" style="4" customWidth="1"/>
    <col min="11525" max="11525" width="16.7265625" style="4" customWidth="1"/>
    <col min="11526" max="11527" width="15.81640625" style="4" customWidth="1"/>
    <col min="11528" max="11528" width="15.7265625" style="4" customWidth="1"/>
    <col min="11529" max="11529" width="14.54296875" style="4" customWidth="1"/>
    <col min="11530" max="11530" width="14.26953125" style="4" customWidth="1"/>
    <col min="11531" max="11531" width="9.1796875" style="4"/>
    <col min="11532" max="11532" width="14.453125" style="4" bestFit="1" customWidth="1"/>
    <col min="11533" max="11779" width="9.1796875" style="4"/>
    <col min="11780" max="11780" width="17.1796875" style="4" customWidth="1"/>
    <col min="11781" max="11781" width="16.7265625" style="4" customWidth="1"/>
    <col min="11782" max="11783" width="15.81640625" style="4" customWidth="1"/>
    <col min="11784" max="11784" width="15.7265625" style="4" customWidth="1"/>
    <col min="11785" max="11785" width="14.54296875" style="4" customWidth="1"/>
    <col min="11786" max="11786" width="14.26953125" style="4" customWidth="1"/>
    <col min="11787" max="11787" width="9.1796875" style="4"/>
    <col min="11788" max="11788" width="14.453125" style="4" bestFit="1" customWidth="1"/>
    <col min="11789" max="12035" width="9.1796875" style="4"/>
    <col min="12036" max="12036" width="17.1796875" style="4" customWidth="1"/>
    <col min="12037" max="12037" width="16.7265625" style="4" customWidth="1"/>
    <col min="12038" max="12039" width="15.81640625" style="4" customWidth="1"/>
    <col min="12040" max="12040" width="15.7265625" style="4" customWidth="1"/>
    <col min="12041" max="12041" width="14.54296875" style="4" customWidth="1"/>
    <col min="12042" max="12042" width="14.26953125" style="4" customWidth="1"/>
    <col min="12043" max="12043" width="9.1796875" style="4"/>
    <col min="12044" max="12044" width="14.453125" style="4" bestFit="1" customWidth="1"/>
    <col min="12045" max="12291" width="9.1796875" style="4"/>
    <col min="12292" max="12292" width="17.1796875" style="4" customWidth="1"/>
    <col min="12293" max="12293" width="16.7265625" style="4" customWidth="1"/>
    <col min="12294" max="12295" width="15.81640625" style="4" customWidth="1"/>
    <col min="12296" max="12296" width="15.7265625" style="4" customWidth="1"/>
    <col min="12297" max="12297" width="14.54296875" style="4" customWidth="1"/>
    <col min="12298" max="12298" width="14.26953125" style="4" customWidth="1"/>
    <col min="12299" max="12299" width="9.1796875" style="4"/>
    <col min="12300" max="12300" width="14.453125" style="4" bestFit="1" customWidth="1"/>
    <col min="12301" max="12547" width="9.1796875" style="4"/>
    <col min="12548" max="12548" width="17.1796875" style="4" customWidth="1"/>
    <col min="12549" max="12549" width="16.7265625" style="4" customWidth="1"/>
    <col min="12550" max="12551" width="15.81640625" style="4" customWidth="1"/>
    <col min="12552" max="12552" width="15.7265625" style="4" customWidth="1"/>
    <col min="12553" max="12553" width="14.54296875" style="4" customWidth="1"/>
    <col min="12554" max="12554" width="14.26953125" style="4" customWidth="1"/>
    <col min="12555" max="12555" width="9.1796875" style="4"/>
    <col min="12556" max="12556" width="14.453125" style="4" bestFit="1" customWidth="1"/>
    <col min="12557" max="12803" width="9.1796875" style="4"/>
    <col min="12804" max="12804" width="17.1796875" style="4" customWidth="1"/>
    <col min="12805" max="12805" width="16.7265625" style="4" customWidth="1"/>
    <col min="12806" max="12807" width="15.81640625" style="4" customWidth="1"/>
    <col min="12808" max="12808" width="15.7265625" style="4" customWidth="1"/>
    <col min="12809" max="12809" width="14.54296875" style="4" customWidth="1"/>
    <col min="12810" max="12810" width="14.26953125" style="4" customWidth="1"/>
    <col min="12811" max="12811" width="9.1796875" style="4"/>
    <col min="12812" max="12812" width="14.453125" style="4" bestFit="1" customWidth="1"/>
    <col min="12813" max="13059" width="9.1796875" style="4"/>
    <col min="13060" max="13060" width="17.1796875" style="4" customWidth="1"/>
    <col min="13061" max="13061" width="16.7265625" style="4" customWidth="1"/>
    <col min="13062" max="13063" width="15.81640625" style="4" customWidth="1"/>
    <col min="13064" max="13064" width="15.7265625" style="4" customWidth="1"/>
    <col min="13065" max="13065" width="14.54296875" style="4" customWidth="1"/>
    <col min="13066" max="13066" width="14.26953125" style="4" customWidth="1"/>
    <col min="13067" max="13067" width="9.1796875" style="4"/>
    <col min="13068" max="13068" width="14.453125" style="4" bestFit="1" customWidth="1"/>
    <col min="13069" max="13315" width="9.1796875" style="4"/>
    <col min="13316" max="13316" width="17.1796875" style="4" customWidth="1"/>
    <col min="13317" max="13317" width="16.7265625" style="4" customWidth="1"/>
    <col min="13318" max="13319" width="15.81640625" style="4" customWidth="1"/>
    <col min="13320" max="13320" width="15.7265625" style="4" customWidth="1"/>
    <col min="13321" max="13321" width="14.54296875" style="4" customWidth="1"/>
    <col min="13322" max="13322" width="14.26953125" style="4" customWidth="1"/>
    <col min="13323" max="13323" width="9.1796875" style="4"/>
    <col min="13324" max="13324" width="14.453125" style="4" bestFit="1" customWidth="1"/>
    <col min="13325" max="13571" width="9.1796875" style="4"/>
    <col min="13572" max="13572" width="17.1796875" style="4" customWidth="1"/>
    <col min="13573" max="13573" width="16.7265625" style="4" customWidth="1"/>
    <col min="13574" max="13575" width="15.81640625" style="4" customWidth="1"/>
    <col min="13576" max="13576" width="15.7265625" style="4" customWidth="1"/>
    <col min="13577" max="13577" width="14.54296875" style="4" customWidth="1"/>
    <col min="13578" max="13578" width="14.26953125" style="4" customWidth="1"/>
    <col min="13579" max="13579" width="9.1796875" style="4"/>
    <col min="13580" max="13580" width="14.453125" style="4" bestFit="1" customWidth="1"/>
    <col min="13581" max="13827" width="9.1796875" style="4"/>
    <col min="13828" max="13828" width="17.1796875" style="4" customWidth="1"/>
    <col min="13829" max="13829" width="16.7265625" style="4" customWidth="1"/>
    <col min="13830" max="13831" width="15.81640625" style="4" customWidth="1"/>
    <col min="13832" max="13832" width="15.7265625" style="4" customWidth="1"/>
    <col min="13833" max="13833" width="14.54296875" style="4" customWidth="1"/>
    <col min="13834" max="13834" width="14.26953125" style="4" customWidth="1"/>
    <col min="13835" max="13835" width="9.1796875" style="4"/>
    <col min="13836" max="13836" width="14.453125" style="4" bestFit="1" customWidth="1"/>
    <col min="13837" max="14083" width="9.1796875" style="4"/>
    <col min="14084" max="14084" width="17.1796875" style="4" customWidth="1"/>
    <col min="14085" max="14085" width="16.7265625" style="4" customWidth="1"/>
    <col min="14086" max="14087" width="15.81640625" style="4" customWidth="1"/>
    <col min="14088" max="14088" width="15.7265625" style="4" customWidth="1"/>
    <col min="14089" max="14089" width="14.54296875" style="4" customWidth="1"/>
    <col min="14090" max="14090" width="14.26953125" style="4" customWidth="1"/>
    <col min="14091" max="14091" width="9.1796875" style="4"/>
    <col min="14092" max="14092" width="14.453125" style="4" bestFit="1" customWidth="1"/>
    <col min="14093" max="14339" width="9.1796875" style="4"/>
    <col min="14340" max="14340" width="17.1796875" style="4" customWidth="1"/>
    <col min="14341" max="14341" width="16.7265625" style="4" customWidth="1"/>
    <col min="14342" max="14343" width="15.81640625" style="4" customWidth="1"/>
    <col min="14344" max="14344" width="15.7265625" style="4" customWidth="1"/>
    <col min="14345" max="14345" width="14.54296875" style="4" customWidth="1"/>
    <col min="14346" max="14346" width="14.26953125" style="4" customWidth="1"/>
    <col min="14347" max="14347" width="9.1796875" style="4"/>
    <col min="14348" max="14348" width="14.453125" style="4" bestFit="1" customWidth="1"/>
    <col min="14349" max="14595" width="9.1796875" style="4"/>
    <col min="14596" max="14596" width="17.1796875" style="4" customWidth="1"/>
    <col min="14597" max="14597" width="16.7265625" style="4" customWidth="1"/>
    <col min="14598" max="14599" width="15.81640625" style="4" customWidth="1"/>
    <col min="14600" max="14600" width="15.7265625" style="4" customWidth="1"/>
    <col min="14601" max="14601" width="14.54296875" style="4" customWidth="1"/>
    <col min="14602" max="14602" width="14.26953125" style="4" customWidth="1"/>
    <col min="14603" max="14603" width="9.1796875" style="4"/>
    <col min="14604" max="14604" width="14.453125" style="4" bestFit="1" customWidth="1"/>
    <col min="14605" max="14851" width="9.1796875" style="4"/>
    <col min="14852" max="14852" width="17.1796875" style="4" customWidth="1"/>
    <col min="14853" max="14853" width="16.7265625" style="4" customWidth="1"/>
    <col min="14854" max="14855" width="15.81640625" style="4" customWidth="1"/>
    <col min="14856" max="14856" width="15.7265625" style="4" customWidth="1"/>
    <col min="14857" max="14857" width="14.54296875" style="4" customWidth="1"/>
    <col min="14858" max="14858" width="14.26953125" style="4" customWidth="1"/>
    <col min="14859" max="14859" width="9.1796875" style="4"/>
    <col min="14860" max="14860" width="14.453125" style="4" bestFit="1" customWidth="1"/>
    <col min="14861" max="15107" width="9.1796875" style="4"/>
    <col min="15108" max="15108" width="17.1796875" style="4" customWidth="1"/>
    <col min="15109" max="15109" width="16.7265625" style="4" customWidth="1"/>
    <col min="15110" max="15111" width="15.81640625" style="4" customWidth="1"/>
    <col min="15112" max="15112" width="15.7265625" style="4" customWidth="1"/>
    <col min="15113" max="15113" width="14.54296875" style="4" customWidth="1"/>
    <col min="15114" max="15114" width="14.26953125" style="4" customWidth="1"/>
    <col min="15115" max="15115" width="9.1796875" style="4"/>
    <col min="15116" max="15116" width="14.453125" style="4" bestFit="1" customWidth="1"/>
    <col min="15117" max="15363" width="9.1796875" style="4"/>
    <col min="15364" max="15364" width="17.1796875" style="4" customWidth="1"/>
    <col min="15365" max="15365" width="16.7265625" style="4" customWidth="1"/>
    <col min="15366" max="15367" width="15.81640625" style="4" customWidth="1"/>
    <col min="15368" max="15368" width="15.7265625" style="4" customWidth="1"/>
    <col min="15369" max="15369" width="14.54296875" style="4" customWidth="1"/>
    <col min="15370" max="15370" width="14.26953125" style="4" customWidth="1"/>
    <col min="15371" max="15371" width="9.1796875" style="4"/>
    <col min="15372" max="15372" width="14.453125" style="4" bestFit="1" customWidth="1"/>
    <col min="15373" max="15619" width="9.1796875" style="4"/>
    <col min="15620" max="15620" width="17.1796875" style="4" customWidth="1"/>
    <col min="15621" max="15621" width="16.7265625" style="4" customWidth="1"/>
    <col min="15622" max="15623" width="15.81640625" style="4" customWidth="1"/>
    <col min="15624" max="15624" width="15.7265625" style="4" customWidth="1"/>
    <col min="15625" max="15625" width="14.54296875" style="4" customWidth="1"/>
    <col min="15626" max="15626" width="14.26953125" style="4" customWidth="1"/>
    <col min="15627" max="15627" width="9.1796875" style="4"/>
    <col min="15628" max="15628" width="14.453125" style="4" bestFit="1" customWidth="1"/>
    <col min="15629" max="15875" width="9.1796875" style="4"/>
    <col min="15876" max="15876" width="17.1796875" style="4" customWidth="1"/>
    <col min="15877" max="15877" width="16.7265625" style="4" customWidth="1"/>
    <col min="15878" max="15879" width="15.81640625" style="4" customWidth="1"/>
    <col min="15880" max="15880" width="15.7265625" style="4" customWidth="1"/>
    <col min="15881" max="15881" width="14.54296875" style="4" customWidth="1"/>
    <col min="15882" max="15882" width="14.26953125" style="4" customWidth="1"/>
    <col min="15883" max="15883" width="9.1796875" style="4"/>
    <col min="15884" max="15884" width="14.453125" style="4" bestFit="1" customWidth="1"/>
    <col min="15885" max="16131" width="9.1796875" style="4"/>
    <col min="16132" max="16132" width="17.1796875" style="4" customWidth="1"/>
    <col min="16133" max="16133" width="16.7265625" style="4" customWidth="1"/>
    <col min="16134" max="16135" width="15.81640625" style="4" customWidth="1"/>
    <col min="16136" max="16136" width="15.7265625" style="4" customWidth="1"/>
    <col min="16137" max="16137" width="14.54296875" style="4" customWidth="1"/>
    <col min="16138" max="16138" width="14.26953125" style="4" customWidth="1"/>
    <col min="16139" max="16139" width="9.1796875" style="4"/>
    <col min="16140" max="16140" width="14.453125" style="4" bestFit="1" customWidth="1"/>
    <col min="16141" max="16384" width="9.1796875" style="4"/>
  </cols>
  <sheetData>
    <row r="1" spans="1:13" ht="15" customHeight="1" x14ac:dyDescent="0.3">
      <c r="A1" s="10" t="s">
        <v>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5" customHeight="1" x14ac:dyDescent="0.3">
      <c r="A2" s="10" t="s">
        <v>85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" customHeight="1" x14ac:dyDescent="0.3">
      <c r="A3" s="10" t="s">
        <v>96</v>
      </c>
      <c r="B3" s="11"/>
      <c r="C3" s="11"/>
      <c r="D3" s="11"/>
      <c r="E3" s="11"/>
      <c r="F3" s="63"/>
      <c r="G3" s="63"/>
      <c r="H3" s="11"/>
      <c r="I3" s="11"/>
      <c r="J3" s="11"/>
      <c r="K3" s="11"/>
      <c r="L3" s="11"/>
      <c r="M3" s="11"/>
    </row>
    <row r="4" spans="1:13" ht="15" customHeight="1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s="22" customFormat="1" ht="29" x14ac:dyDescent="0.35">
      <c r="A5" s="17" t="s">
        <v>86</v>
      </c>
      <c r="B5" s="54" t="s">
        <v>4</v>
      </c>
      <c r="C5" s="34" t="s">
        <v>87</v>
      </c>
      <c r="D5" s="34" t="s">
        <v>88</v>
      </c>
      <c r="E5" s="34" t="s">
        <v>6</v>
      </c>
      <c r="F5" s="34" t="s">
        <v>89</v>
      </c>
      <c r="G5" s="49" t="s">
        <v>7</v>
      </c>
      <c r="H5" s="66" t="s">
        <v>9</v>
      </c>
      <c r="I5" s="66" t="s">
        <v>8</v>
      </c>
      <c r="J5" s="66" t="s">
        <v>10</v>
      </c>
      <c r="K5" s="55" t="s">
        <v>11</v>
      </c>
      <c r="L5" s="18" t="s">
        <v>16</v>
      </c>
      <c r="M5" s="21"/>
    </row>
    <row r="6" spans="1:13" ht="12.75" customHeight="1" x14ac:dyDescent="0.25">
      <c r="A6" s="31" t="s">
        <v>29</v>
      </c>
      <c r="B6" s="48">
        <v>16441707</v>
      </c>
      <c r="C6" s="48">
        <v>32366364.57</v>
      </c>
      <c r="D6" s="48">
        <v>7805096.9000000004</v>
      </c>
      <c r="E6" s="48">
        <v>107467289.84</v>
      </c>
      <c r="F6" s="48">
        <v>6896417</v>
      </c>
      <c r="G6" s="48">
        <v>9251941</v>
      </c>
      <c r="H6" s="48">
        <v>109799955.11</v>
      </c>
      <c r="I6" s="48">
        <v>0</v>
      </c>
      <c r="J6" s="48">
        <v>0</v>
      </c>
      <c r="K6" s="48">
        <v>85930850</v>
      </c>
      <c r="L6" s="48">
        <f>SUM(B6:K6)</f>
        <v>375959621.42000002</v>
      </c>
      <c r="M6" s="13"/>
    </row>
    <row r="7" spans="1:13" ht="12.75" customHeight="1" x14ac:dyDescent="0.25">
      <c r="A7" s="31" t="s">
        <v>30</v>
      </c>
      <c r="B7" s="48">
        <v>3544811</v>
      </c>
      <c r="C7" s="48">
        <v>5472745</v>
      </c>
      <c r="D7" s="48">
        <v>3256430</v>
      </c>
      <c r="E7" s="48">
        <v>22902242.200000003</v>
      </c>
      <c r="F7" s="48">
        <v>3544811</v>
      </c>
      <c r="G7" s="48">
        <v>0</v>
      </c>
      <c r="H7" s="48">
        <v>3800000</v>
      </c>
      <c r="I7" s="48">
        <v>0</v>
      </c>
      <c r="J7" s="48">
        <v>106422.95</v>
      </c>
      <c r="K7" s="48">
        <v>20500000</v>
      </c>
      <c r="L7" s="48">
        <f>SUM(B7:K7)</f>
        <v>63127462.150000006</v>
      </c>
      <c r="M7" s="13"/>
    </row>
    <row r="8" spans="1:13" ht="12.75" customHeight="1" x14ac:dyDescent="0.25">
      <c r="A8" s="31" t="s">
        <v>31</v>
      </c>
      <c r="B8" s="48">
        <v>0</v>
      </c>
      <c r="C8" s="48">
        <v>0</v>
      </c>
      <c r="D8" s="48">
        <v>0</v>
      </c>
      <c r="E8" s="48">
        <v>-2759130.1599999997</v>
      </c>
      <c r="F8" s="48">
        <v>0</v>
      </c>
      <c r="G8" s="48">
        <v>-3206087.61</v>
      </c>
      <c r="H8" s="48">
        <v>0</v>
      </c>
      <c r="I8" s="48">
        <v>0</v>
      </c>
      <c r="J8" s="48">
        <v>0</v>
      </c>
      <c r="K8" s="48">
        <v>0</v>
      </c>
      <c r="L8" s="48">
        <f t="shared" ref="L8:L61" si="0">SUM(B8:K8)</f>
        <v>-5965217.7699999996</v>
      </c>
      <c r="M8" s="13"/>
    </row>
    <row r="9" spans="1:13" ht="12.75" customHeight="1" x14ac:dyDescent="0.25">
      <c r="A9" s="31" t="s">
        <v>32</v>
      </c>
      <c r="B9" s="48">
        <v>19827025</v>
      </c>
      <c r="C9" s="48">
        <v>48915654.829999998</v>
      </c>
      <c r="D9" s="48">
        <v>15269694.640000001</v>
      </c>
      <c r="E9" s="48">
        <v>156875308.62</v>
      </c>
      <c r="F9" s="48">
        <v>10032936</v>
      </c>
      <c r="G9" s="48">
        <v>1912748.8199999928</v>
      </c>
      <c r="H9" s="48">
        <v>69991179.88000001</v>
      </c>
      <c r="I9" s="48">
        <v>0</v>
      </c>
      <c r="J9" s="48">
        <v>0</v>
      </c>
      <c r="K9" s="48">
        <v>223688784.91</v>
      </c>
      <c r="L9" s="48">
        <f t="shared" si="0"/>
        <v>546513332.70000005</v>
      </c>
      <c r="M9" s="13"/>
    </row>
    <row r="10" spans="1:13" ht="12.75" customHeight="1" x14ac:dyDescent="0.25">
      <c r="A10" s="31" t="s">
        <v>33</v>
      </c>
      <c r="B10" s="48">
        <v>7359431.1399999997</v>
      </c>
      <c r="C10" s="48">
        <v>17047731.329999998</v>
      </c>
      <c r="D10" s="48">
        <v>4925076</v>
      </c>
      <c r="E10" s="48">
        <v>74406419.519999996</v>
      </c>
      <c r="F10" s="48">
        <v>1886543</v>
      </c>
      <c r="G10" s="48">
        <v>0</v>
      </c>
      <c r="H10" s="48">
        <v>18874120.659999996</v>
      </c>
      <c r="I10" s="48">
        <v>9600</v>
      </c>
      <c r="J10" s="48">
        <v>97173378.420000002</v>
      </c>
      <c r="K10" s="48">
        <v>136187160.11000001</v>
      </c>
      <c r="L10" s="48">
        <f t="shared" si="0"/>
        <v>357869460.18000001</v>
      </c>
      <c r="M10" s="13"/>
    </row>
    <row r="11" spans="1:13" ht="12.75" customHeight="1" x14ac:dyDescent="0.25">
      <c r="A11" s="31" t="s">
        <v>34</v>
      </c>
      <c r="B11" s="48">
        <v>68711213</v>
      </c>
      <c r="C11" s="48">
        <v>253841294</v>
      </c>
      <c r="D11" s="48">
        <v>155547082</v>
      </c>
      <c r="E11" s="48">
        <v>493453344</v>
      </c>
      <c r="F11" s="48">
        <v>85593217</v>
      </c>
      <c r="G11" s="48">
        <v>27659741</v>
      </c>
      <c r="H11" s="48">
        <v>385489811</v>
      </c>
      <c r="I11" s="48">
        <v>2582292</v>
      </c>
      <c r="J11" s="48">
        <v>0</v>
      </c>
      <c r="K11" s="48">
        <v>328461815</v>
      </c>
      <c r="L11" s="48">
        <f t="shared" si="0"/>
        <v>1801339809</v>
      </c>
      <c r="M11" s="13"/>
    </row>
    <row r="12" spans="1:13" ht="12.75" customHeight="1" x14ac:dyDescent="0.25">
      <c r="A12" s="31" t="s">
        <v>35</v>
      </c>
      <c r="B12" s="48">
        <v>10173800.02</v>
      </c>
      <c r="C12" s="48">
        <v>25241773.850000001</v>
      </c>
      <c r="D12" s="48">
        <v>43049092.859999999</v>
      </c>
      <c r="E12" s="48">
        <v>78342615.510000005</v>
      </c>
      <c r="F12" s="48">
        <v>8985901</v>
      </c>
      <c r="G12" s="48">
        <v>2373342.799999997</v>
      </c>
      <c r="H12" s="48">
        <v>53647042.500000007</v>
      </c>
      <c r="I12" s="48">
        <v>0</v>
      </c>
      <c r="J12" s="48">
        <v>124049.8</v>
      </c>
      <c r="K12" s="48">
        <v>199115973.23000002</v>
      </c>
      <c r="L12" s="48">
        <f t="shared" si="0"/>
        <v>421053591.57000005</v>
      </c>
      <c r="M12" s="13"/>
    </row>
    <row r="13" spans="1:13" ht="12.75" customHeight="1" x14ac:dyDescent="0.25">
      <c r="A13" s="31" t="s">
        <v>36</v>
      </c>
      <c r="B13" s="48">
        <v>18738357</v>
      </c>
      <c r="C13" s="48">
        <v>27694746.91</v>
      </c>
      <c r="D13" s="48">
        <v>12293888.08</v>
      </c>
      <c r="E13" s="48">
        <v>66589104.300000004</v>
      </c>
      <c r="F13" s="48">
        <v>18738358</v>
      </c>
      <c r="G13" s="48">
        <v>2926027.8300000019</v>
      </c>
      <c r="H13" s="48">
        <v>3682891.1000000015</v>
      </c>
      <c r="I13" s="48">
        <v>0</v>
      </c>
      <c r="J13" s="48">
        <v>21906170.439999998</v>
      </c>
      <c r="K13" s="48">
        <v>23806808</v>
      </c>
      <c r="L13" s="48">
        <f t="shared" si="0"/>
        <v>196376351.66</v>
      </c>
      <c r="M13" s="13"/>
    </row>
    <row r="14" spans="1:13" ht="12.75" customHeight="1" x14ac:dyDescent="0.25">
      <c r="A14" s="31" t="s">
        <v>37</v>
      </c>
      <c r="B14" s="48">
        <v>5956315</v>
      </c>
      <c r="C14" s="48">
        <v>5558792</v>
      </c>
      <c r="D14" s="48">
        <v>3097475</v>
      </c>
      <c r="E14" s="48">
        <v>23122585</v>
      </c>
      <c r="F14" s="48">
        <v>5179325</v>
      </c>
      <c r="G14" s="48">
        <v>-0.27999999932944775</v>
      </c>
      <c r="H14" s="48">
        <v>685808</v>
      </c>
      <c r="I14" s="48">
        <v>0</v>
      </c>
      <c r="J14" s="48">
        <v>27136272</v>
      </c>
      <c r="K14" s="48">
        <v>24476122</v>
      </c>
      <c r="L14" s="48">
        <f t="shared" si="0"/>
        <v>95212693.719999999</v>
      </c>
      <c r="M14" s="13"/>
    </row>
    <row r="15" spans="1:13" ht="12.75" customHeight="1" x14ac:dyDescent="0.25">
      <c r="A15" s="31" t="s">
        <v>38</v>
      </c>
      <c r="B15" s="48">
        <v>4566974</v>
      </c>
      <c r="C15" s="48">
        <v>3989765.09</v>
      </c>
      <c r="D15" s="48">
        <v>3109461.04</v>
      </c>
      <c r="E15" s="48">
        <v>11594418.16</v>
      </c>
      <c r="F15" s="48">
        <v>4566974</v>
      </c>
      <c r="G15" s="48">
        <v>-276140.0700000003</v>
      </c>
      <c r="H15" s="48">
        <v>1761067.1500000004</v>
      </c>
      <c r="I15" s="48">
        <v>0</v>
      </c>
      <c r="J15" s="48">
        <v>497372.17</v>
      </c>
      <c r="K15" s="48">
        <v>21254873</v>
      </c>
      <c r="L15" s="48">
        <f t="shared" si="0"/>
        <v>51064764.539999999</v>
      </c>
      <c r="M15" s="13"/>
    </row>
    <row r="16" spans="1:13" ht="12.75" customHeight="1" x14ac:dyDescent="0.25">
      <c r="A16" s="31" t="s">
        <v>39</v>
      </c>
      <c r="B16" s="48">
        <v>38339041.789999992</v>
      </c>
      <c r="C16" s="48">
        <v>136152059.30000001</v>
      </c>
      <c r="D16" s="48">
        <v>66136455.379999995</v>
      </c>
      <c r="E16" s="48">
        <v>467577392.06000006</v>
      </c>
      <c r="F16" s="48">
        <v>34413378.07</v>
      </c>
      <c r="G16" s="48">
        <v>-125753.37000000477</v>
      </c>
      <c r="H16" s="48">
        <v>333858161.65999997</v>
      </c>
      <c r="I16" s="48">
        <v>3143454.68</v>
      </c>
      <c r="J16" s="48">
        <v>3553860.08</v>
      </c>
      <c r="K16" s="48">
        <v>407379254.73000002</v>
      </c>
      <c r="L16" s="48">
        <f t="shared" si="0"/>
        <v>1490427304.3800001</v>
      </c>
      <c r="M16" s="13"/>
    </row>
    <row r="17" spans="1:13" ht="12.75" customHeight="1" x14ac:dyDescent="0.25">
      <c r="A17" s="31" t="s">
        <v>40</v>
      </c>
      <c r="B17" s="48">
        <v>23499382</v>
      </c>
      <c r="C17" s="48">
        <v>3630125.3699999973</v>
      </c>
      <c r="D17" s="48">
        <v>21591618.32</v>
      </c>
      <c r="E17" s="48">
        <v>284575041.96000004</v>
      </c>
      <c r="F17" s="48">
        <v>22182651</v>
      </c>
      <c r="G17" s="48">
        <v>0</v>
      </c>
      <c r="H17" s="48">
        <v>184946263.11000001</v>
      </c>
      <c r="I17" s="48">
        <v>0</v>
      </c>
      <c r="J17" s="48">
        <v>85235911.030000001</v>
      </c>
      <c r="K17" s="48">
        <v>426159798.09000003</v>
      </c>
      <c r="L17" s="48">
        <f t="shared" si="0"/>
        <v>1051820790.88</v>
      </c>
      <c r="M17" s="13"/>
    </row>
    <row r="18" spans="1:13" ht="12.75" customHeight="1" x14ac:dyDescent="0.25">
      <c r="A18" s="31" t="s">
        <v>41</v>
      </c>
      <c r="B18" s="48">
        <v>250660</v>
      </c>
      <c r="C18" s="48">
        <v>0</v>
      </c>
      <c r="D18" s="48">
        <v>0</v>
      </c>
      <c r="E18" s="48">
        <v>7084937.2299999986</v>
      </c>
      <c r="F18" s="48">
        <v>0</v>
      </c>
      <c r="G18" s="48">
        <v>750030.18000000017</v>
      </c>
      <c r="H18" s="48">
        <v>22863</v>
      </c>
      <c r="I18" s="48">
        <v>0</v>
      </c>
      <c r="J18" s="48">
        <v>0</v>
      </c>
      <c r="K18" s="48">
        <v>21152921</v>
      </c>
      <c r="L18" s="48">
        <f t="shared" si="0"/>
        <v>29261411.409999996</v>
      </c>
      <c r="M18" s="13"/>
    </row>
    <row r="19" spans="1:13" ht="12.75" customHeight="1" x14ac:dyDescent="0.25">
      <c r="A19" s="31" t="s">
        <v>42</v>
      </c>
      <c r="B19" s="48">
        <v>4971633</v>
      </c>
      <c r="C19" s="48">
        <v>9148695</v>
      </c>
      <c r="D19" s="48">
        <v>7907038</v>
      </c>
      <c r="E19" s="48">
        <v>19359997</v>
      </c>
      <c r="F19" s="48">
        <v>4971630</v>
      </c>
      <c r="G19" s="48">
        <v>10870007.689999999</v>
      </c>
      <c r="H19" s="48">
        <v>24071349</v>
      </c>
      <c r="I19" s="48">
        <v>0</v>
      </c>
      <c r="J19" s="48">
        <v>554893</v>
      </c>
      <c r="K19" s="48">
        <v>65251494</v>
      </c>
      <c r="L19" s="48">
        <f t="shared" si="0"/>
        <v>147106736.69</v>
      </c>
      <c r="M19" s="13"/>
    </row>
    <row r="20" spans="1:13" ht="12.75" customHeight="1" x14ac:dyDescent="0.25">
      <c r="A20" s="31" t="s">
        <v>43</v>
      </c>
      <c r="B20" s="48">
        <v>2867578</v>
      </c>
      <c r="C20" s="48">
        <v>12743364</v>
      </c>
      <c r="D20" s="48">
        <v>2962743</v>
      </c>
      <c r="E20" s="48">
        <v>27906424</v>
      </c>
      <c r="F20" s="48">
        <v>1175819</v>
      </c>
      <c r="G20" s="48">
        <v>0</v>
      </c>
      <c r="H20" s="48">
        <v>35092186</v>
      </c>
      <c r="I20" s="48">
        <v>0</v>
      </c>
      <c r="J20" s="48">
        <v>61255452</v>
      </c>
      <c r="K20" s="48">
        <v>28998517</v>
      </c>
      <c r="L20" s="48">
        <f t="shared" si="0"/>
        <v>173002083</v>
      </c>
      <c r="M20" s="13"/>
    </row>
    <row r="21" spans="1:13" ht="12.75" customHeight="1" x14ac:dyDescent="0.25">
      <c r="A21" s="31" t="s">
        <v>44</v>
      </c>
      <c r="B21" s="48">
        <v>56873824</v>
      </c>
      <c r="C21" s="48">
        <v>82226481.739999995</v>
      </c>
      <c r="D21" s="48">
        <v>61300280.690000005</v>
      </c>
      <c r="E21" s="48">
        <v>181726917</v>
      </c>
      <c r="F21" s="48">
        <v>56873825</v>
      </c>
      <c r="G21" s="48">
        <v>479359.93999999762</v>
      </c>
      <c r="H21" s="48">
        <v>26358803.849999994</v>
      </c>
      <c r="I21" s="48">
        <v>0</v>
      </c>
      <c r="J21" s="48">
        <v>0</v>
      </c>
      <c r="K21" s="48">
        <v>486521163</v>
      </c>
      <c r="L21" s="48">
        <f t="shared" si="0"/>
        <v>952360655.22000003</v>
      </c>
      <c r="M21" s="13"/>
    </row>
    <row r="22" spans="1:13" ht="12.75" customHeight="1" x14ac:dyDescent="0.25">
      <c r="A22" s="31" t="s">
        <v>45</v>
      </c>
      <c r="B22" s="48">
        <v>26181999</v>
      </c>
      <c r="C22" s="48">
        <v>55099376.050000004</v>
      </c>
      <c r="D22" s="48">
        <v>13461664.069999998</v>
      </c>
      <c r="E22" s="48">
        <v>222554265.64999998</v>
      </c>
      <c r="F22" s="48">
        <v>15356947</v>
      </c>
      <c r="G22" s="48">
        <v>-724117.18000000715</v>
      </c>
      <c r="H22" s="48">
        <v>19910844.5</v>
      </c>
      <c r="I22" s="48">
        <v>0</v>
      </c>
      <c r="J22" s="48">
        <v>14636566.050000001</v>
      </c>
      <c r="K22" s="48">
        <v>534249689.94999999</v>
      </c>
      <c r="L22" s="48">
        <f t="shared" si="0"/>
        <v>900727235.08999991</v>
      </c>
      <c r="M22" s="13"/>
    </row>
    <row r="23" spans="1:13" ht="12.75" customHeight="1" x14ac:dyDescent="0.25">
      <c r="A23" s="31" t="s">
        <v>46</v>
      </c>
      <c r="B23" s="48">
        <v>9638457.6500000004</v>
      </c>
      <c r="C23" s="48">
        <v>23183477.639999997</v>
      </c>
      <c r="D23" s="48">
        <v>7626991</v>
      </c>
      <c r="E23" s="48">
        <v>59077909.920000002</v>
      </c>
      <c r="F23" s="48">
        <v>5078586</v>
      </c>
      <c r="G23" s="48">
        <v>0</v>
      </c>
      <c r="H23" s="48">
        <v>33306568.699999996</v>
      </c>
      <c r="I23" s="48">
        <v>0</v>
      </c>
      <c r="J23" s="48">
        <v>27937371.759999998</v>
      </c>
      <c r="K23" s="48">
        <v>195166497.75</v>
      </c>
      <c r="L23" s="48">
        <f t="shared" si="0"/>
        <v>361015860.41999996</v>
      </c>
      <c r="M23" s="13"/>
    </row>
    <row r="24" spans="1:13" ht="12.75" customHeight="1" x14ac:dyDescent="0.25">
      <c r="A24" s="31" t="s">
        <v>47</v>
      </c>
      <c r="B24" s="48">
        <v>9811721</v>
      </c>
      <c r="C24" s="48">
        <v>11812890.24</v>
      </c>
      <c r="D24" s="48">
        <v>5988330.7400000002</v>
      </c>
      <c r="E24" s="48">
        <v>38628199.530000001</v>
      </c>
      <c r="F24" s="48">
        <v>6673024</v>
      </c>
      <c r="G24" s="48">
        <v>2840569.4399999976</v>
      </c>
      <c r="H24" s="48">
        <v>59868115.960000001</v>
      </c>
      <c r="I24" s="48">
        <v>0</v>
      </c>
      <c r="J24" s="48">
        <v>2591944.5099999998</v>
      </c>
      <c r="K24" s="48">
        <v>103194586.67</v>
      </c>
      <c r="L24" s="48">
        <f t="shared" si="0"/>
        <v>241409382.08999997</v>
      </c>
      <c r="M24" s="13"/>
    </row>
    <row r="25" spans="1:13" ht="12.75" customHeight="1" x14ac:dyDescent="0.25">
      <c r="A25" s="31" t="s">
        <v>48</v>
      </c>
      <c r="B25" s="48">
        <v>10692801</v>
      </c>
      <c r="C25" s="48">
        <v>28603092.66</v>
      </c>
      <c r="D25" s="48">
        <v>6117211</v>
      </c>
      <c r="E25" s="48">
        <v>89808432</v>
      </c>
      <c r="F25" s="48">
        <v>7274537</v>
      </c>
      <c r="G25" s="48">
        <v>0</v>
      </c>
      <c r="H25" s="48">
        <v>19239839</v>
      </c>
      <c r="I25" s="48">
        <v>0</v>
      </c>
      <c r="J25" s="48">
        <v>49768516</v>
      </c>
      <c r="K25" s="48">
        <v>191509641</v>
      </c>
      <c r="L25" s="48">
        <f t="shared" si="0"/>
        <v>403014069.65999997</v>
      </c>
      <c r="M25" s="13"/>
    </row>
    <row r="26" spans="1:13" ht="12.75" customHeight="1" x14ac:dyDescent="0.25">
      <c r="A26" s="31" t="s">
        <v>49</v>
      </c>
      <c r="B26" s="48">
        <v>14444787.749999998</v>
      </c>
      <c r="C26" s="48">
        <v>42678107.18</v>
      </c>
      <c r="D26" s="48">
        <v>4957129</v>
      </c>
      <c r="E26" s="48">
        <v>91627248.719999999</v>
      </c>
      <c r="F26" s="48">
        <v>5219488</v>
      </c>
      <c r="G26" s="48">
        <v>416311.81000000238</v>
      </c>
      <c r="H26" s="48">
        <v>37043292.170000002</v>
      </c>
      <c r="I26" s="48">
        <v>872962</v>
      </c>
      <c r="J26" s="48">
        <v>137118310.22999999</v>
      </c>
      <c r="K26" s="48">
        <v>340362943.45999998</v>
      </c>
      <c r="L26" s="48">
        <f t="shared" si="0"/>
        <v>674740580.31999993</v>
      </c>
      <c r="M26" s="13"/>
    </row>
    <row r="27" spans="1:13" ht="12.75" customHeight="1" x14ac:dyDescent="0.25">
      <c r="A27" s="31" t="s">
        <v>50</v>
      </c>
      <c r="B27" s="48">
        <v>3018598</v>
      </c>
      <c r="C27" s="48">
        <v>7255901.1699999999</v>
      </c>
      <c r="D27" s="48">
        <v>3339411.86</v>
      </c>
      <c r="E27" s="48">
        <v>18945423.140000001</v>
      </c>
      <c r="F27" s="48">
        <v>1749818</v>
      </c>
      <c r="G27" s="48">
        <v>9781.730000000447</v>
      </c>
      <c r="H27" s="48">
        <v>15455245.98</v>
      </c>
      <c r="I27" s="48">
        <v>0</v>
      </c>
      <c r="J27" s="48">
        <v>8979571.1999999993</v>
      </c>
      <c r="K27" s="48">
        <v>73021026.299999997</v>
      </c>
      <c r="L27" s="48">
        <f t="shared" si="0"/>
        <v>131774777.38000001</v>
      </c>
      <c r="M27" s="13"/>
    </row>
    <row r="28" spans="1:13" ht="12.75" customHeight="1" x14ac:dyDescent="0.25">
      <c r="A28" s="31" t="s">
        <v>51</v>
      </c>
      <c r="B28" s="48">
        <v>21614974.800000004</v>
      </c>
      <c r="C28" s="48">
        <v>40067874.739999995</v>
      </c>
      <c r="D28" s="48">
        <v>43064994.329999998</v>
      </c>
      <c r="E28" s="48">
        <v>86776127.420000017</v>
      </c>
      <c r="F28" s="48">
        <v>23301407</v>
      </c>
      <c r="G28" s="48">
        <v>0</v>
      </c>
      <c r="H28" s="48">
        <v>14069379.680000007</v>
      </c>
      <c r="I28" s="48">
        <v>0</v>
      </c>
      <c r="J28" s="48">
        <v>13372909.33</v>
      </c>
      <c r="K28" s="48">
        <v>302774203.70000005</v>
      </c>
      <c r="L28" s="48">
        <f t="shared" si="0"/>
        <v>545041871.00000012</v>
      </c>
      <c r="M28" s="13"/>
    </row>
    <row r="29" spans="1:13" ht="12.75" customHeight="1" x14ac:dyDescent="0.25">
      <c r="A29" s="31" t="s">
        <v>52</v>
      </c>
      <c r="B29" s="48">
        <v>44973373</v>
      </c>
      <c r="C29" s="48">
        <v>42691723.729999997</v>
      </c>
      <c r="D29" s="48">
        <v>30264653.73</v>
      </c>
      <c r="E29" s="48">
        <v>176475569.57999998</v>
      </c>
      <c r="F29" s="48">
        <v>44973368</v>
      </c>
      <c r="G29" s="48">
        <v>0</v>
      </c>
      <c r="H29" s="48">
        <v>131060103</v>
      </c>
      <c r="I29" s="48">
        <v>0</v>
      </c>
      <c r="J29" s="48">
        <v>17000000</v>
      </c>
      <c r="K29" s="48">
        <v>245321509.21000001</v>
      </c>
      <c r="L29" s="48">
        <f t="shared" si="0"/>
        <v>732760300.25</v>
      </c>
      <c r="M29" s="13"/>
    </row>
    <row r="30" spans="1:13" ht="12.75" customHeight="1" x14ac:dyDescent="0.25">
      <c r="A30" s="31" t="s">
        <v>53</v>
      </c>
      <c r="B30" s="48">
        <v>32081922</v>
      </c>
      <c r="C30" s="48">
        <v>62016036</v>
      </c>
      <c r="D30" s="48">
        <v>18960245</v>
      </c>
      <c r="E30" s="48">
        <v>171920287</v>
      </c>
      <c r="F30" s="48">
        <v>24411363</v>
      </c>
      <c r="G30" s="48">
        <v>1438537</v>
      </c>
      <c r="H30" s="48">
        <v>288321523</v>
      </c>
      <c r="I30" s="48">
        <v>0</v>
      </c>
      <c r="J30" s="48">
        <v>98873385</v>
      </c>
      <c r="K30" s="48">
        <v>696287620</v>
      </c>
      <c r="L30" s="48">
        <f t="shared" si="0"/>
        <v>1394310918</v>
      </c>
      <c r="M30" s="13"/>
    </row>
    <row r="31" spans="1:13" ht="12.75" customHeight="1" x14ac:dyDescent="0.25">
      <c r="A31" s="31" t="s">
        <v>54</v>
      </c>
      <c r="B31" s="48">
        <v>13362266</v>
      </c>
      <c r="C31" s="48">
        <v>13628211.18</v>
      </c>
      <c r="D31" s="48">
        <v>5321028</v>
      </c>
      <c r="E31" s="48">
        <v>77929384.61999999</v>
      </c>
      <c r="F31" s="48">
        <v>19690299</v>
      </c>
      <c r="G31" s="48">
        <v>3019221.900000006</v>
      </c>
      <c r="H31" s="48">
        <v>35503660.120000005</v>
      </c>
      <c r="I31" s="48">
        <v>0</v>
      </c>
      <c r="J31" s="48">
        <v>38056769.079999998</v>
      </c>
      <c r="K31" s="48">
        <v>171470978.61999997</v>
      </c>
      <c r="L31" s="48">
        <f t="shared" si="0"/>
        <v>377981818.51999998</v>
      </c>
      <c r="M31" s="13"/>
    </row>
    <row r="32" spans="1:13" ht="12.75" customHeight="1" x14ac:dyDescent="0.25">
      <c r="A32" s="31" t="s">
        <v>55</v>
      </c>
      <c r="B32" s="48">
        <v>6293230</v>
      </c>
      <c r="C32" s="48">
        <v>22003967</v>
      </c>
      <c r="D32" s="48">
        <v>4119106</v>
      </c>
      <c r="E32" s="48">
        <v>65636251</v>
      </c>
      <c r="F32" s="48">
        <v>1715430</v>
      </c>
      <c r="G32" s="48">
        <v>0</v>
      </c>
      <c r="H32" s="48">
        <v>70254485</v>
      </c>
      <c r="I32" s="48">
        <v>0</v>
      </c>
      <c r="J32" s="48">
        <v>0</v>
      </c>
      <c r="K32" s="48">
        <v>319476474</v>
      </c>
      <c r="L32" s="48">
        <f t="shared" si="0"/>
        <v>489498943</v>
      </c>
      <c r="M32" s="13"/>
    </row>
    <row r="33" spans="1:14" ht="12.75" customHeight="1" x14ac:dyDescent="0.25">
      <c r="A33" s="31" t="s">
        <v>56</v>
      </c>
      <c r="B33" s="48">
        <v>0</v>
      </c>
      <c r="C33" s="48">
        <v>42278242.600000001</v>
      </c>
      <c r="D33" s="48">
        <v>23968814.18</v>
      </c>
      <c r="E33" s="48">
        <v>98472505.710000008</v>
      </c>
      <c r="F33" s="48">
        <v>-1</v>
      </c>
      <c r="G33" s="48">
        <v>25156213</v>
      </c>
      <c r="H33" s="48">
        <v>99728199.179999992</v>
      </c>
      <c r="I33" s="48">
        <v>0</v>
      </c>
      <c r="J33" s="48">
        <v>0</v>
      </c>
      <c r="K33" s="48">
        <v>0</v>
      </c>
      <c r="L33" s="48">
        <f t="shared" si="0"/>
        <v>289603973.67000002</v>
      </c>
      <c r="M33" s="13"/>
    </row>
    <row r="34" spans="1:14" ht="12.75" customHeight="1" x14ac:dyDescent="0.25">
      <c r="A34" s="31" t="s">
        <v>57</v>
      </c>
      <c r="B34" s="48">
        <v>4654183</v>
      </c>
      <c r="C34" s="48">
        <v>6178485.2199999997</v>
      </c>
      <c r="D34" s="48">
        <v>2282736.6500000004</v>
      </c>
      <c r="E34" s="48">
        <v>20090687.209999997</v>
      </c>
      <c r="F34" s="48">
        <v>1313990</v>
      </c>
      <c r="G34" s="48">
        <v>0</v>
      </c>
      <c r="H34" s="48">
        <v>17788409.27</v>
      </c>
      <c r="I34" s="48">
        <v>0</v>
      </c>
      <c r="J34" s="48">
        <v>2245064.44</v>
      </c>
      <c r="K34" s="48">
        <v>19028262.780000001</v>
      </c>
      <c r="L34" s="48">
        <f t="shared" si="0"/>
        <v>73581818.569999993</v>
      </c>
      <c r="M34" s="13"/>
    </row>
    <row r="35" spans="1:14" ht="12.75" customHeight="1" x14ac:dyDescent="0.25">
      <c r="A35" s="31" t="s">
        <v>58</v>
      </c>
      <c r="B35" s="48">
        <v>10594637</v>
      </c>
      <c r="C35" s="48">
        <v>14261731</v>
      </c>
      <c r="D35" s="48">
        <v>10412544.09</v>
      </c>
      <c r="E35" s="48">
        <v>34752798.600000009</v>
      </c>
      <c r="F35" s="48">
        <v>6498998</v>
      </c>
      <c r="G35" s="48">
        <v>1229290.879999999</v>
      </c>
      <c r="H35" s="48">
        <v>2116392.0199999996</v>
      </c>
      <c r="I35" s="48">
        <v>0</v>
      </c>
      <c r="J35" s="48">
        <v>13029.25</v>
      </c>
      <c r="K35" s="48">
        <v>101255499.72</v>
      </c>
      <c r="L35" s="48">
        <f t="shared" si="0"/>
        <v>181134920.56</v>
      </c>
      <c r="M35" s="13"/>
    </row>
    <row r="36" spans="1:14" ht="12.75" customHeight="1" x14ac:dyDescent="0.25">
      <c r="A36" s="31" t="s">
        <v>59</v>
      </c>
      <c r="B36" s="48">
        <v>2580422</v>
      </c>
      <c r="C36" s="48">
        <v>6313479.290000001</v>
      </c>
      <c r="D36" s="48">
        <v>1603882.6600000001</v>
      </c>
      <c r="E36" s="48">
        <v>36522519.88000001</v>
      </c>
      <c r="F36" s="48">
        <v>2580422</v>
      </c>
      <c r="G36" s="48">
        <v>1394377.7899999991</v>
      </c>
      <c r="H36" s="48">
        <v>46379250.359999999</v>
      </c>
      <c r="I36" s="48">
        <v>0</v>
      </c>
      <c r="J36" s="48">
        <v>0</v>
      </c>
      <c r="K36" s="48">
        <v>133893858.41</v>
      </c>
      <c r="L36" s="48">
        <f t="shared" si="0"/>
        <v>231268212.39000002</v>
      </c>
      <c r="M36" s="13"/>
    </row>
    <row r="37" spans="1:14" ht="12.75" customHeight="1" x14ac:dyDescent="0.25">
      <c r="A37" s="31" t="s">
        <v>60</v>
      </c>
      <c r="B37" s="48">
        <v>4581870</v>
      </c>
      <c r="C37" s="48">
        <v>7291183</v>
      </c>
      <c r="D37" s="48">
        <v>5682452</v>
      </c>
      <c r="E37" s="48">
        <v>11487729.269999998</v>
      </c>
      <c r="F37" s="48">
        <v>4581866</v>
      </c>
      <c r="G37" s="48">
        <v>0</v>
      </c>
      <c r="H37" s="48">
        <v>3670971.1000000034</v>
      </c>
      <c r="I37" s="48">
        <v>0</v>
      </c>
      <c r="J37" s="48">
        <v>2529163.8600000003</v>
      </c>
      <c r="K37" s="48">
        <v>35903409.770000003</v>
      </c>
      <c r="L37" s="48">
        <f t="shared" si="0"/>
        <v>75728645</v>
      </c>
      <c r="M37" s="13"/>
    </row>
    <row r="38" spans="1:14" ht="12.75" customHeight="1" x14ac:dyDescent="0.25">
      <c r="A38" s="31" t="s">
        <v>61</v>
      </c>
      <c r="B38" s="48">
        <v>26374178</v>
      </c>
      <c r="C38" s="48">
        <v>57213683</v>
      </c>
      <c r="D38" s="48">
        <v>44590022.909999996</v>
      </c>
      <c r="E38" s="48">
        <v>268166655.94</v>
      </c>
      <c r="F38" s="48">
        <v>26374178</v>
      </c>
      <c r="G38" s="48">
        <v>-195635.17000000179</v>
      </c>
      <c r="H38" s="48">
        <v>166122000.09</v>
      </c>
      <c r="I38" s="48">
        <v>0</v>
      </c>
      <c r="J38" s="48">
        <v>69939908</v>
      </c>
      <c r="K38" s="48">
        <v>152664183</v>
      </c>
      <c r="L38" s="48">
        <f t="shared" si="0"/>
        <v>811249173.76999998</v>
      </c>
      <c r="M38" s="13"/>
    </row>
    <row r="39" spans="1:14" ht="12.75" customHeight="1" x14ac:dyDescent="0.25">
      <c r="A39" s="31" t="s">
        <v>62</v>
      </c>
      <c r="B39" s="48">
        <v>8353057.9500000002</v>
      </c>
      <c r="C39" s="48">
        <v>27253937.899999999</v>
      </c>
      <c r="D39" s="48">
        <v>3544884.6100000003</v>
      </c>
      <c r="E39" s="48">
        <v>104030035.58000001</v>
      </c>
      <c r="F39" s="48">
        <v>2895259.04</v>
      </c>
      <c r="G39" s="48">
        <v>65761.820000000298</v>
      </c>
      <c r="H39" s="48">
        <v>29489490.84</v>
      </c>
      <c r="I39" s="48">
        <v>0</v>
      </c>
      <c r="J39" s="48">
        <v>11489335.59</v>
      </c>
      <c r="K39" s="48">
        <v>161109579.17000002</v>
      </c>
      <c r="L39" s="48">
        <f t="shared" si="0"/>
        <v>348231342.5</v>
      </c>
      <c r="M39" s="13"/>
    </row>
    <row r="40" spans="1:14" ht="12.75" customHeight="1" x14ac:dyDescent="0.25">
      <c r="A40" s="31" t="s">
        <v>63</v>
      </c>
      <c r="B40" s="48">
        <v>49092306</v>
      </c>
      <c r="C40" s="48">
        <v>120228482.01000001</v>
      </c>
      <c r="D40" s="48">
        <v>33118930.739999995</v>
      </c>
      <c r="E40" s="48">
        <v>486352463.09000003</v>
      </c>
      <c r="F40" s="48">
        <v>101983997.99999999</v>
      </c>
      <c r="G40" s="48">
        <v>35499845.36999999</v>
      </c>
      <c r="H40" s="48">
        <v>-15077636.969999999</v>
      </c>
      <c r="I40" s="48">
        <v>31771</v>
      </c>
      <c r="J40" s="48">
        <v>13961620.800000001</v>
      </c>
      <c r="K40" s="48">
        <v>800636114.69000006</v>
      </c>
      <c r="L40" s="48">
        <f t="shared" si="0"/>
        <v>1625827894.73</v>
      </c>
      <c r="M40" s="13"/>
    </row>
    <row r="41" spans="1:14" ht="12.75" customHeight="1" x14ac:dyDescent="0.25">
      <c r="A41" s="31" t="s">
        <v>64</v>
      </c>
      <c r="B41" s="48">
        <v>66576471</v>
      </c>
      <c r="C41" s="48">
        <v>61115517.640000001</v>
      </c>
      <c r="D41" s="48">
        <v>21659484</v>
      </c>
      <c r="E41" s="48">
        <v>167286851</v>
      </c>
      <c r="F41" s="48">
        <v>37927282</v>
      </c>
      <c r="G41" s="48">
        <v>0</v>
      </c>
      <c r="H41" s="48">
        <v>104962390</v>
      </c>
      <c r="I41" s="48">
        <v>0</v>
      </c>
      <c r="J41" s="48">
        <v>1099174</v>
      </c>
      <c r="K41" s="48">
        <v>655999855</v>
      </c>
      <c r="L41" s="48">
        <f t="shared" si="0"/>
        <v>1116627024.6399999</v>
      </c>
      <c r="M41" s="13"/>
    </row>
    <row r="42" spans="1:14" ht="12.75" customHeight="1" x14ac:dyDescent="0.25">
      <c r="A42" s="31" t="s">
        <v>65</v>
      </c>
      <c r="B42" s="48">
        <v>2729740</v>
      </c>
      <c r="C42" s="48">
        <v>6727567</v>
      </c>
      <c r="D42" s="48">
        <v>2735155.09</v>
      </c>
      <c r="E42" s="48">
        <v>12194352</v>
      </c>
      <c r="F42" s="48">
        <v>1017036</v>
      </c>
      <c r="G42" s="48">
        <v>5652515</v>
      </c>
      <c r="H42" s="48">
        <v>9615170</v>
      </c>
      <c r="I42" s="48">
        <v>0</v>
      </c>
      <c r="J42" s="48">
        <v>1932023</v>
      </c>
      <c r="K42" s="48">
        <v>33390966</v>
      </c>
      <c r="L42" s="48">
        <f t="shared" si="0"/>
        <v>75994524.090000004</v>
      </c>
      <c r="M42" s="13"/>
    </row>
    <row r="43" spans="1:14" ht="12.75" customHeight="1" x14ac:dyDescent="0.25">
      <c r="A43" s="31" t="s">
        <v>66</v>
      </c>
      <c r="B43" s="48">
        <v>2228783.79</v>
      </c>
      <c r="C43" s="48">
        <v>0</v>
      </c>
      <c r="D43" s="48">
        <v>0</v>
      </c>
      <c r="E43" s="48">
        <v>2517881</v>
      </c>
      <c r="F43" s="48">
        <v>0</v>
      </c>
      <c r="G43" s="48">
        <v>1706552</v>
      </c>
      <c r="H43" s="48">
        <v>3350089</v>
      </c>
      <c r="I43" s="48">
        <v>1242595.0900000001</v>
      </c>
      <c r="J43" s="48">
        <v>821577</v>
      </c>
      <c r="K43" s="48">
        <v>6897238</v>
      </c>
      <c r="L43" s="48">
        <f t="shared" si="0"/>
        <v>18764715.879999999</v>
      </c>
      <c r="M43" s="13"/>
    </row>
    <row r="44" spans="1:14" ht="12.75" customHeight="1" x14ac:dyDescent="0.25">
      <c r="A44" s="31" t="s">
        <v>67</v>
      </c>
      <c r="B44" s="48">
        <v>70124656</v>
      </c>
      <c r="C44" s="48">
        <v>76164230</v>
      </c>
      <c r="D44" s="48">
        <v>24609698.920000002</v>
      </c>
      <c r="E44" s="48">
        <v>137544499</v>
      </c>
      <c r="F44" s="48">
        <v>45403943</v>
      </c>
      <c r="G44" s="48">
        <v>0</v>
      </c>
      <c r="H44" s="48">
        <v>153805945</v>
      </c>
      <c r="I44" s="48">
        <v>0</v>
      </c>
      <c r="J44" s="48">
        <v>0</v>
      </c>
      <c r="K44" s="48">
        <v>567046951</v>
      </c>
      <c r="L44" s="48">
        <f t="shared" si="0"/>
        <v>1074699922.9200001</v>
      </c>
      <c r="M44" s="13"/>
    </row>
    <row r="45" spans="1:14" ht="12.75" customHeight="1" x14ac:dyDescent="0.25">
      <c r="A45" s="31" t="s">
        <v>68</v>
      </c>
      <c r="B45" s="48">
        <v>24909979</v>
      </c>
      <c r="C45" s="48">
        <v>28556405</v>
      </c>
      <c r="D45" s="48">
        <v>9769196</v>
      </c>
      <c r="E45" s="48">
        <v>122093580</v>
      </c>
      <c r="F45" s="48">
        <v>10630233</v>
      </c>
      <c r="G45" s="48">
        <v>0</v>
      </c>
      <c r="H45" s="48">
        <v>46211464</v>
      </c>
      <c r="I45" s="48">
        <v>0</v>
      </c>
      <c r="J45" s="48">
        <v>15019825</v>
      </c>
      <c r="K45" s="48">
        <v>100653435</v>
      </c>
      <c r="L45" s="48">
        <f t="shared" si="0"/>
        <v>357844117</v>
      </c>
      <c r="M45" s="13"/>
    </row>
    <row r="46" spans="1:14" ht="12.75" customHeight="1" x14ac:dyDescent="0.25">
      <c r="A46" s="31" t="s">
        <v>69</v>
      </c>
      <c r="B46" s="48">
        <v>7103453.3300000019</v>
      </c>
      <c r="C46" s="48">
        <v>12749567.550000003</v>
      </c>
      <c r="D46" s="48">
        <v>9852040</v>
      </c>
      <c r="E46" s="48">
        <v>74145885.38000001</v>
      </c>
      <c r="F46" s="48">
        <v>11714966</v>
      </c>
      <c r="G46" s="48">
        <v>2627034.4600000009</v>
      </c>
      <c r="H46" s="48">
        <v>51581577.319999993</v>
      </c>
      <c r="I46" s="48">
        <v>192759.85</v>
      </c>
      <c r="J46" s="48">
        <v>4682499.62</v>
      </c>
      <c r="K46" s="48">
        <v>236036580.55999997</v>
      </c>
      <c r="L46" s="48">
        <f t="shared" si="0"/>
        <v>410686364.06999999</v>
      </c>
      <c r="M46" s="13"/>
    </row>
    <row r="47" spans="1:14" ht="12.75" customHeight="1" x14ac:dyDescent="0.25">
      <c r="A47" s="31" t="s">
        <v>70</v>
      </c>
      <c r="B47" s="48">
        <v>71966599.150000006</v>
      </c>
      <c r="C47" s="48">
        <v>117898082.64999999</v>
      </c>
      <c r="D47" s="48">
        <v>41585306.590000004</v>
      </c>
      <c r="E47" s="48">
        <v>165919938.91999999</v>
      </c>
      <c r="F47" s="48">
        <v>46629051</v>
      </c>
      <c r="G47" s="48">
        <v>2007024</v>
      </c>
      <c r="H47" s="48">
        <v>6300737.1599999666</v>
      </c>
      <c r="I47" s="48">
        <v>0</v>
      </c>
      <c r="J47" s="48">
        <v>78065361.079999998</v>
      </c>
      <c r="K47" s="48">
        <v>544442581</v>
      </c>
      <c r="L47" s="48">
        <f t="shared" si="0"/>
        <v>1074814681.55</v>
      </c>
      <c r="M47" s="13"/>
    </row>
    <row r="48" spans="1:14" ht="12.75" customHeight="1" x14ac:dyDescent="0.25">
      <c r="A48" s="31" t="s">
        <v>71</v>
      </c>
      <c r="B48" s="48">
        <v>35472802.719999999</v>
      </c>
      <c r="C48" s="48">
        <v>0</v>
      </c>
      <c r="D48" s="48">
        <v>0</v>
      </c>
      <c r="E48" s="48">
        <v>40055612</v>
      </c>
      <c r="F48" s="48">
        <v>0</v>
      </c>
      <c r="G48" s="48">
        <v>10650923</v>
      </c>
      <c r="H48" s="48">
        <v>51012935</v>
      </c>
      <c r="I48" s="48">
        <v>130168</v>
      </c>
      <c r="J48" s="48">
        <v>3815042</v>
      </c>
      <c r="K48" s="48">
        <v>0</v>
      </c>
      <c r="L48" s="48">
        <f t="shared" si="0"/>
        <v>141137482.72</v>
      </c>
      <c r="M48" s="13"/>
      <c r="N48" s="14"/>
    </row>
    <row r="49" spans="1:13" ht="12.75" customHeight="1" x14ac:dyDescent="0.25">
      <c r="A49" s="31" t="s">
        <v>72</v>
      </c>
      <c r="B49" s="48">
        <v>6633774</v>
      </c>
      <c r="C49" s="48">
        <v>5928783</v>
      </c>
      <c r="D49" s="48">
        <v>2884285</v>
      </c>
      <c r="E49" s="48">
        <v>13802530</v>
      </c>
      <c r="F49" s="48">
        <v>5321126</v>
      </c>
      <c r="G49" s="48">
        <v>3659649.71</v>
      </c>
      <c r="H49" s="48">
        <v>4468175.7099999972</v>
      </c>
      <c r="I49" s="48">
        <v>0</v>
      </c>
      <c r="J49" s="48">
        <v>6629818.3200000003</v>
      </c>
      <c r="K49" s="48">
        <v>56745754.890000001</v>
      </c>
      <c r="L49" s="48">
        <f t="shared" si="0"/>
        <v>106073896.63</v>
      </c>
      <c r="M49" s="13"/>
    </row>
    <row r="50" spans="1:13" ht="12.75" customHeight="1" x14ac:dyDescent="0.25">
      <c r="A50" s="31" t="s">
        <v>73</v>
      </c>
      <c r="B50" s="48">
        <v>1093560</v>
      </c>
      <c r="C50" s="48">
        <v>32948126</v>
      </c>
      <c r="D50" s="48">
        <v>7584490</v>
      </c>
      <c r="E50" s="48">
        <v>101856786</v>
      </c>
      <c r="F50" s="48">
        <v>4085269</v>
      </c>
      <c r="G50" s="48">
        <v>13408519</v>
      </c>
      <c r="H50" s="48">
        <v>77820716</v>
      </c>
      <c r="I50" s="48">
        <v>0</v>
      </c>
      <c r="J50" s="48">
        <v>0</v>
      </c>
      <c r="K50" s="48">
        <v>337655966</v>
      </c>
      <c r="L50" s="48">
        <f t="shared" si="0"/>
        <v>576453432</v>
      </c>
      <c r="M50" s="13"/>
    </row>
    <row r="51" spans="1:13" ht="12.75" customHeight="1" x14ac:dyDescent="0.25">
      <c r="A51" s="31" t="s">
        <v>74</v>
      </c>
      <c r="B51" s="48">
        <v>1710801</v>
      </c>
      <c r="C51" s="48">
        <v>5820886.3700000001</v>
      </c>
      <c r="D51" s="48">
        <v>2306179.64</v>
      </c>
      <c r="E51" s="48">
        <v>10811153.629999999</v>
      </c>
      <c r="F51" s="48">
        <v>802914</v>
      </c>
      <c r="G51" s="48">
        <v>537860.06000000052</v>
      </c>
      <c r="H51" s="48">
        <v>5601359.9299999997</v>
      </c>
      <c r="I51" s="48">
        <v>0</v>
      </c>
      <c r="J51" s="48">
        <v>0</v>
      </c>
      <c r="K51" s="48">
        <v>61584358.990000002</v>
      </c>
      <c r="L51" s="48">
        <f t="shared" si="0"/>
        <v>89175513.620000005</v>
      </c>
      <c r="M51" s="13"/>
    </row>
    <row r="52" spans="1:13" ht="12.75" customHeight="1" x14ac:dyDescent="0.25">
      <c r="A52" s="31" t="s">
        <v>75</v>
      </c>
      <c r="B52" s="48">
        <v>37702188</v>
      </c>
      <c r="C52" s="48">
        <v>32530245.529999997</v>
      </c>
      <c r="D52" s="48">
        <v>12559853.370000001</v>
      </c>
      <c r="E52" s="48">
        <v>160105818.70000005</v>
      </c>
      <c r="F52" s="48">
        <v>18975782.000000004</v>
      </c>
      <c r="G52" s="48">
        <v>614139.51000000536</v>
      </c>
      <c r="H52" s="48">
        <v>101850.47999998927</v>
      </c>
      <c r="I52" s="48">
        <v>0</v>
      </c>
      <c r="J52" s="48">
        <v>73381253.61999999</v>
      </c>
      <c r="K52" s="48">
        <v>351296875.57999998</v>
      </c>
      <c r="L52" s="48">
        <f t="shared" si="0"/>
        <v>687268006.78999996</v>
      </c>
      <c r="M52" s="13"/>
    </row>
    <row r="53" spans="1:13" ht="12.75" customHeight="1" x14ac:dyDescent="0.25">
      <c r="A53" s="31" t="s">
        <v>76</v>
      </c>
      <c r="B53" s="48">
        <v>58185573.399999999</v>
      </c>
      <c r="C53" s="48">
        <v>216836562.31</v>
      </c>
      <c r="D53" s="48">
        <v>79774811.729999989</v>
      </c>
      <c r="E53" s="48">
        <v>577302290.16000009</v>
      </c>
      <c r="F53" s="48">
        <v>34681421</v>
      </c>
      <c r="G53" s="48">
        <v>79602801.199999988</v>
      </c>
      <c r="H53" s="48">
        <v>252185956.06999993</v>
      </c>
      <c r="I53" s="48">
        <v>0</v>
      </c>
      <c r="J53" s="48">
        <v>109005019.59999999</v>
      </c>
      <c r="K53" s="48">
        <v>1780479087.21</v>
      </c>
      <c r="L53" s="48">
        <f t="shared" si="0"/>
        <v>3188053522.6799998</v>
      </c>
      <c r="M53" s="13"/>
    </row>
    <row r="54" spans="1:13" ht="12.75" customHeight="1" x14ac:dyDescent="0.25">
      <c r="A54" s="31" t="s">
        <v>77</v>
      </c>
      <c r="B54" s="48">
        <v>12591564</v>
      </c>
      <c r="C54" s="48">
        <v>25783819</v>
      </c>
      <c r="D54" s="48">
        <v>9413315</v>
      </c>
      <c r="E54" s="48">
        <v>75207102</v>
      </c>
      <c r="F54" s="48">
        <v>4474923</v>
      </c>
      <c r="G54" s="48">
        <v>0</v>
      </c>
      <c r="H54" s="48">
        <v>50871529</v>
      </c>
      <c r="I54" s="48">
        <v>0</v>
      </c>
      <c r="J54" s="48">
        <v>1029475</v>
      </c>
      <c r="K54" s="48">
        <v>124149204</v>
      </c>
      <c r="L54" s="48">
        <f t="shared" si="0"/>
        <v>303520931</v>
      </c>
      <c r="M54" s="13"/>
    </row>
    <row r="55" spans="1:13" ht="12.75" customHeight="1" x14ac:dyDescent="0.25">
      <c r="A55" s="31" t="s">
        <v>78</v>
      </c>
      <c r="B55" s="48">
        <v>3944887</v>
      </c>
      <c r="C55" s="48">
        <v>3300414.82</v>
      </c>
      <c r="D55" s="48">
        <v>1503348.15</v>
      </c>
      <c r="E55" s="48">
        <v>15856424.489999998</v>
      </c>
      <c r="F55" s="48">
        <v>2666323</v>
      </c>
      <c r="G55" s="48">
        <v>0</v>
      </c>
      <c r="H55" s="48">
        <v>4284807.4300000006</v>
      </c>
      <c r="I55" s="48">
        <v>0</v>
      </c>
      <c r="J55" s="48">
        <v>1537516.21</v>
      </c>
      <c r="K55" s="48">
        <v>20000298.57</v>
      </c>
      <c r="L55" s="48">
        <f t="shared" si="0"/>
        <v>53094019.670000002</v>
      </c>
      <c r="M55" s="13"/>
    </row>
    <row r="56" spans="1:13" ht="12.75" customHeight="1" x14ac:dyDescent="0.25">
      <c r="A56" s="31" t="s">
        <v>79</v>
      </c>
      <c r="B56" s="48">
        <v>-4980</v>
      </c>
      <c r="C56" s="48">
        <v>0</v>
      </c>
      <c r="D56" s="48">
        <v>0</v>
      </c>
      <c r="E56" s="48">
        <v>1691258.22</v>
      </c>
      <c r="F56" s="48">
        <v>0</v>
      </c>
      <c r="G56" s="48">
        <v>1249402</v>
      </c>
      <c r="H56" s="48">
        <v>19980</v>
      </c>
      <c r="I56" s="48">
        <v>70049</v>
      </c>
      <c r="J56" s="48">
        <v>9900</v>
      </c>
      <c r="K56" s="48">
        <v>0</v>
      </c>
      <c r="L56" s="48">
        <f t="shared" si="0"/>
        <v>3035609.2199999997</v>
      </c>
      <c r="M56" s="13"/>
    </row>
    <row r="57" spans="1:13" ht="12.75" customHeight="1" x14ac:dyDescent="0.25">
      <c r="A57" s="31" t="s">
        <v>80</v>
      </c>
      <c r="B57" s="48">
        <v>8336489.2200000007</v>
      </c>
      <c r="C57" s="48">
        <v>11837237.09</v>
      </c>
      <c r="D57" s="48">
        <v>53881503.539999999</v>
      </c>
      <c r="E57" s="48">
        <v>84702667.109999999</v>
      </c>
      <c r="F57" s="48">
        <v>21328762</v>
      </c>
      <c r="G57" s="48">
        <v>0</v>
      </c>
      <c r="H57" s="48">
        <v>81527443.580000043</v>
      </c>
      <c r="I57" s="48">
        <v>0</v>
      </c>
      <c r="J57" s="48">
        <v>1467257.15</v>
      </c>
      <c r="K57" s="48">
        <v>449998572.69999999</v>
      </c>
      <c r="L57" s="48">
        <f t="shared" si="0"/>
        <v>713079932.38999999</v>
      </c>
      <c r="M57" s="13"/>
    </row>
    <row r="58" spans="1:13" ht="12.75" customHeight="1" x14ac:dyDescent="0.25">
      <c r="A58" s="31" t="s">
        <v>81</v>
      </c>
      <c r="B58" s="48">
        <v>45310419.029999994</v>
      </c>
      <c r="C58" s="48">
        <v>68720695.960000008</v>
      </c>
      <c r="D58" s="48">
        <v>35057764.990000002</v>
      </c>
      <c r="E58" s="48">
        <v>166844315.31999999</v>
      </c>
      <c r="F58" s="48">
        <v>38707605</v>
      </c>
      <c r="G58" s="48">
        <v>29820849.07</v>
      </c>
      <c r="H58" s="48">
        <v>17941646.809999995</v>
      </c>
      <c r="I58" s="48">
        <v>0</v>
      </c>
      <c r="J58" s="48">
        <v>2305133.7400000002</v>
      </c>
      <c r="K58" s="48">
        <v>350932539.57000005</v>
      </c>
      <c r="L58" s="48">
        <f t="shared" si="0"/>
        <v>755640969.49000001</v>
      </c>
      <c r="M58" s="13"/>
    </row>
    <row r="59" spans="1:13" ht="12.75" customHeight="1" x14ac:dyDescent="0.25">
      <c r="A59" s="31" t="s">
        <v>82</v>
      </c>
      <c r="B59" s="48">
        <v>8727005</v>
      </c>
      <c r="C59" s="48">
        <v>10563900.140000001</v>
      </c>
      <c r="D59" s="48">
        <v>2497302</v>
      </c>
      <c r="E59" s="48">
        <v>37884582</v>
      </c>
      <c r="F59" s="48">
        <v>2971392</v>
      </c>
      <c r="G59" s="48">
        <v>0</v>
      </c>
      <c r="H59" s="48">
        <v>0</v>
      </c>
      <c r="I59" s="48">
        <v>0</v>
      </c>
      <c r="J59" s="48">
        <v>81784903.890000001</v>
      </c>
      <c r="K59" s="48">
        <v>62499800</v>
      </c>
      <c r="L59" s="48">
        <f t="shared" si="0"/>
        <v>206928885.03</v>
      </c>
      <c r="M59" s="13"/>
    </row>
    <row r="60" spans="1:13" ht="12.75" customHeight="1" x14ac:dyDescent="0.25">
      <c r="A60" s="31" t="s">
        <v>83</v>
      </c>
      <c r="B60" s="48">
        <v>24511351</v>
      </c>
      <c r="C60" s="48">
        <v>37210776.649999991</v>
      </c>
      <c r="D60" s="48">
        <v>15221081.57</v>
      </c>
      <c r="E60" s="48">
        <v>147253628.19999999</v>
      </c>
      <c r="F60" s="48">
        <v>16449406</v>
      </c>
      <c r="G60" s="48">
        <v>-19191.64999999851</v>
      </c>
      <c r="H60" s="48">
        <v>11029362.330000013</v>
      </c>
      <c r="I60" s="48">
        <v>0</v>
      </c>
      <c r="J60" s="48">
        <v>3445522.0100000002</v>
      </c>
      <c r="K60" s="48">
        <v>201902730.61000001</v>
      </c>
      <c r="L60" s="48">
        <f t="shared" si="0"/>
        <v>457004666.72000003</v>
      </c>
      <c r="M60" s="13"/>
    </row>
    <row r="61" spans="1:13" ht="12.75" customHeight="1" x14ac:dyDescent="0.25">
      <c r="A61" s="31" t="s">
        <v>84</v>
      </c>
      <c r="B61" s="48">
        <v>2048807</v>
      </c>
      <c r="C61" s="48">
        <v>3957124.79</v>
      </c>
      <c r="D61" s="48">
        <v>2342445</v>
      </c>
      <c r="E61" s="48">
        <v>7990481</v>
      </c>
      <c r="F61" s="48">
        <v>1553707</v>
      </c>
      <c r="G61" s="48">
        <v>0</v>
      </c>
      <c r="H61" s="48">
        <v>4763167</v>
      </c>
      <c r="I61" s="48">
        <v>0</v>
      </c>
      <c r="J61" s="48">
        <v>1654104</v>
      </c>
      <c r="K61" s="48">
        <v>28109227</v>
      </c>
      <c r="L61" s="48">
        <f t="shared" si="0"/>
        <v>52419062.789999999</v>
      </c>
      <c r="M61" s="13"/>
    </row>
    <row r="62" spans="1:13" ht="13" x14ac:dyDescent="0.3">
      <c r="A62" s="3" t="s">
        <v>16</v>
      </c>
      <c r="B62" s="20">
        <f t="shared" ref="B62:L62" si="1">SUM(B6:B61)</f>
        <v>1072370459.7399999</v>
      </c>
      <c r="C62" s="20">
        <f t="shared" si="1"/>
        <v>2052739416.1000001</v>
      </c>
      <c r="D62" s="20">
        <f t="shared" si="1"/>
        <v>1011913725.0699999</v>
      </c>
      <c r="E62" s="20">
        <f t="shared" si="1"/>
        <v>6302547036.2299995</v>
      </c>
      <c r="F62" s="20">
        <f t="shared" si="1"/>
        <v>872055903.11000001</v>
      </c>
      <c r="G62" s="20">
        <f t="shared" si="1"/>
        <v>274283453.68000001</v>
      </c>
      <c r="H62" s="20">
        <f t="shared" si="1"/>
        <v>3263787936.8400002</v>
      </c>
      <c r="I62" s="20">
        <f t="shared" si="1"/>
        <v>8275651.6199999992</v>
      </c>
      <c r="J62" s="20">
        <f t="shared" si="1"/>
        <v>1193742652.2300005</v>
      </c>
      <c r="K62" s="20">
        <f t="shared" si="1"/>
        <v>13046033633.950001</v>
      </c>
      <c r="L62" s="20">
        <f t="shared" si="1"/>
        <v>29097749868.57</v>
      </c>
      <c r="M62" s="23"/>
    </row>
    <row r="63" spans="1:13" x14ac:dyDescent="0.25">
      <c r="L63" s="14"/>
    </row>
    <row r="64" spans="1:13" x14ac:dyDescent="0.25">
      <c r="B64" s="14"/>
      <c r="C64" s="14"/>
      <c r="E64" s="14"/>
      <c r="F64" s="14"/>
      <c r="G64" s="14"/>
      <c r="H64" s="14"/>
      <c r="I64" s="14"/>
      <c r="J64" s="14"/>
      <c r="K64" s="14"/>
      <c r="L64" s="14"/>
    </row>
    <row r="65" spans="1:12" x14ac:dyDescent="0.25">
      <c r="D65" s="14"/>
      <c r="E65" s="14"/>
      <c r="F65" s="14"/>
      <c r="G65" s="14"/>
      <c r="H65" s="14"/>
      <c r="I65" s="14"/>
      <c r="J65" s="14"/>
      <c r="K65" s="14"/>
      <c r="L65" s="24"/>
    </row>
    <row r="66" spans="1:12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spans="1:12" x14ac:dyDescent="0.25">
      <c r="A67" s="24"/>
      <c r="D67" s="24"/>
      <c r="L67" s="14"/>
    </row>
    <row r="68" spans="1:12" x14ac:dyDescent="0.25">
      <c r="B68" s="14"/>
      <c r="C68" s="14"/>
      <c r="D68" s="14"/>
    </row>
    <row r="69" spans="1:12" x14ac:dyDescent="0.25">
      <c r="B69" s="14"/>
      <c r="C69" s="14"/>
      <c r="D69" s="14"/>
    </row>
    <row r="70" spans="1:12" x14ac:dyDescent="0.25">
      <c r="B70" s="14"/>
      <c r="C70" s="14"/>
      <c r="D70" s="14"/>
    </row>
    <row r="71" spans="1:12" x14ac:dyDescent="0.25">
      <c r="A71" s="14"/>
      <c r="B71" s="14"/>
      <c r="D71" s="14"/>
    </row>
    <row r="72" spans="1:12" x14ac:dyDescent="0.25">
      <c r="A72" s="14"/>
      <c r="B72" s="14"/>
      <c r="C72" s="14"/>
      <c r="D72" s="14"/>
      <c r="F72" s="4" t="s">
        <v>90</v>
      </c>
    </row>
    <row r="73" spans="1:12" x14ac:dyDescent="0.25">
      <c r="A73" s="14"/>
      <c r="B73" s="14"/>
      <c r="C73" s="14"/>
      <c r="D73" s="14"/>
    </row>
    <row r="74" spans="1:12" x14ac:dyDescent="0.25">
      <c r="A74" s="14"/>
      <c r="B74" s="14"/>
      <c r="D74" s="14"/>
    </row>
    <row r="75" spans="1:12" x14ac:dyDescent="0.25">
      <c r="A75" s="14"/>
      <c r="B75" s="14"/>
      <c r="C75" s="14"/>
    </row>
    <row r="77" spans="1:12" x14ac:dyDescent="0.25">
      <c r="C77" s="14"/>
    </row>
  </sheetData>
  <pageMargins left="0.7" right="0.7" top="0.75" bottom="0.75" header="0.3" footer="0.3"/>
  <pageSetup scale="4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uthreviewed xmlns="e5fc0b33-1b27-49a5-b053-9260eb7300eb" xsi:nil="true"/>
    <lcf76f155ced4ddcb4097134ff3c332f xmlns="e5fc0b33-1b27-49a5-b053-9260eb7300eb">
      <Terms xmlns="http://schemas.microsoft.com/office/infopath/2007/PartnerControls"/>
    </lcf76f155ced4ddcb4097134ff3c332f>
    <TaxCatchAll xmlns="16e0b1d4-6348-4246-b98d-6af7534963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B2E1DCCCF86A4DAE3841CD11B8F980" ma:contentTypeVersion="16" ma:contentTypeDescription="Create a new document." ma:contentTypeScope="" ma:versionID="4aa76e42992641f4e5e7bf038365dd81">
  <xsd:schema xmlns:xsd="http://www.w3.org/2001/XMLSchema" xmlns:xs="http://www.w3.org/2001/XMLSchema" xmlns:p="http://schemas.microsoft.com/office/2006/metadata/properties" xmlns:ns2="e5fc0b33-1b27-49a5-b053-9260eb7300eb" xmlns:ns3="16e0b1d4-6348-4246-b98d-6af75349639b" targetNamespace="http://schemas.microsoft.com/office/2006/metadata/properties" ma:root="true" ma:fieldsID="d89d6a5a9af79cd80ff36af1da1e51cc" ns2:_="" ns3:_="">
    <xsd:import namespace="e5fc0b33-1b27-49a5-b053-9260eb7300eb"/>
    <xsd:import namespace="16e0b1d4-6348-4246-b98d-6af7534963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Ruthreviewe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c0b33-1b27-49a5-b053-9260eb7300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Ruthreviewed" ma:index="12" nillable="true" ma:displayName="Status" ma:format="Dropdown" ma:internalName="Ruthreviewed">
      <xsd:simpleType>
        <xsd:restriction base="dms:Choice">
          <xsd:enumeration value="Ruth reviewed"/>
          <xsd:enumeration value="Internal Review"/>
          <xsd:enumeration value="For Clearance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5f4345e-8d67-48af-bef8-91c58d16f7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0b1d4-6348-4246-b98d-6af7534963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1d690e8-f901-4f4e-84e3-8965e1a4a323}" ma:internalName="TaxCatchAll" ma:showField="CatchAllData" ma:web="16e0b1d4-6348-4246-b98d-6af7534963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56A40C-E829-401D-BC38-74D998E93DD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16e0b1d4-6348-4246-b98d-6af75349639b"/>
    <ds:schemaRef ds:uri="http://schemas.microsoft.com/office/infopath/2007/PartnerControls"/>
    <ds:schemaRef ds:uri="e5fc0b33-1b27-49a5-b053-9260eb7300eb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8E2BBE8-4B93-4E33-ADDD-27ABD0A0A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fc0b33-1b27-49a5-b053-9260eb7300eb"/>
    <ds:schemaRef ds:uri="16e0b1d4-6348-4246-b98d-6af7534963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263630-D28E-4995-9010-7BA5181773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Table 1a</vt:lpstr>
      <vt:lpstr>Table 2a</vt:lpstr>
      <vt:lpstr>Table 3a</vt:lpstr>
      <vt:lpstr>Table 4a</vt:lpstr>
      <vt:lpstr>'Table 3a'!Print_Area</vt:lpstr>
      <vt:lpstr>'Table 4a'!Print_Area</vt:lpstr>
    </vt:vector>
  </TitlesOfParts>
  <Manager/>
  <Company>DHHS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Campbell</dc:creator>
  <cp:keywords/>
  <dc:description/>
  <cp:lastModifiedBy>Mora, Violeta</cp:lastModifiedBy>
  <cp:revision/>
  <dcterms:created xsi:type="dcterms:W3CDTF">2011-05-24T21:30:34Z</dcterms:created>
  <dcterms:modified xsi:type="dcterms:W3CDTF">2025-09-24T06:50:14Z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0x0101000AB2E1DCCCF86A4DAE3841CD11B8F980</vt:lpwstr>
  </property>
  <property fmtid="{D5CDD505-2E9C-101B-9397-08002B2CF9AE}" pid="3" name="MediaServiceImageTags">
    <vt:lpwstr/>
  </property>
</Properties>
</file>