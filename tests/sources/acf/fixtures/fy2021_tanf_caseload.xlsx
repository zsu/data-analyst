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mas.tran\Documents\OFA Website\OFAWEB_new\001_OFA_New_Drupal_site\01_tanf\data\caseload\FY2021\2022-04-04\TANF\"/>
    </mc:Choice>
  </mc:AlternateContent>
  <xr:revisionPtr revIDLastSave="0" documentId="13_ncr:1_{8358D0A0-7AFA-46A6-8B7D-4DDC236B89DF}" xr6:coauthVersionLast="46" xr6:coauthVersionMax="47" xr10:uidLastSave="{00000000-0000-0000-0000-000000000000}"/>
  <bookViews>
    <workbookView xWindow="-28920" yWindow="-120" windowWidth="29040" windowHeight="15840" tabRatio="822" xr2:uid="{00000000-000D-0000-FFFF-FFFF00000000}"/>
  </bookViews>
  <sheets>
    <sheet name="Total Number of Families" sheetId="1" r:id="rId2"/>
    <sheet name="FY2021-Recipients" sheetId="27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<sst xmlns="http://schemas.openxmlformats.org/spreadsheetml/2006/main" count="1435" uniqueCount="121">
  <si>
    <t>TANF:  Total Number of Families</t>
  </si>
  <si>
    <t>State</t>
  </si>
  <si>
    <t>U.S. Totals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</si>
  <si>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</si>
  <si>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</si>
  <si>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</si>
  <si>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</si>
  <si>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</si>
  <si>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</si>
  <si>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</si>
  <si>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</si>
  <si>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</si>
  <si>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</si>
  <si>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</si>
  <si>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</si>
  <si>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</si>
  <si>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</si>
  <si>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</si>
  <si>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</si>
  <si>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</si>
  <si>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</si>
  <si>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</si>
  <si>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</si>
  <si>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</si>
  <si>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</si>
  <si>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</si>
  <si>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</si>
  <si>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</si>
  <si>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</si>
  <si>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</si>
  <si>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</si>
  <si>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</si>
  <si>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</si>
  <si>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</si>
  <si>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</si>
  <si>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</si>
  <si>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</si>
  <si>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</si>
  <si>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</si>
  <si>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</si>
  <si>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</si>
  <si>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</si>
  <si>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</si>
  <si>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</si>
  <si>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</si>
  <si>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</si>
  <si>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</si>
  <si>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</si>
  <si>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</si>
  <si>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</si>
  <si>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</si>
  <si>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</si>
  <si>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</si>
  <si>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</si>
  <si>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</si>
  <si>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</si>
  <si>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</si>
  <si>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 xml:space="preserve">    </t>
  </si>
  <si>
    <t xml:space="preserve">Notes: </t>
  </si>
  <si>
    <t>TANF:   Total Number of Two Parent Families</t>
  </si>
  <si>
    <t>TANF:  Total Number of One Parent Families</t>
  </si>
  <si>
    <t>TANF:  Total Number of No Parent Families</t>
  </si>
  <si>
    <t>TANF:  Total Number of Recipients</t>
  </si>
  <si>
    <t>TANF:  Total Number of Adult Recipients</t>
  </si>
  <si>
    <t>TANF:  Total Number of Child Recipients</t>
  </si>
  <si>
    <t>Temporary Assistance for Needy Families (TANF)</t>
  </si>
  <si>
    <t>Total
Families</t>
  </si>
  <si>
    <t>Two
Parent
Families</t>
  </si>
  <si>
    <t>One 
Parent 
Families</t>
  </si>
  <si>
    <t>No 
Parent 
Families</t>
  </si>
  <si>
    <t>Total Recipients</t>
  </si>
  <si>
    <t>Adults</t>
  </si>
  <si>
    <t>Children</t>
  </si>
  <si>
    <t>Total 
Recipients</t>
  </si>
  <si>
    <t>"-" - data inapplicable</t>
  </si>
  <si>
    <t xml:space="preserve"> October 2020</t>
  </si>
  <si>
    <t xml:space="preserve"> November 2020</t>
  </si>
  <si>
    <t>Fiscal Year 2021</t>
  </si>
  <si>
    <t>Average
FY 2021</t>
  </si>
  <si>
    <t>2021</t>
  </si>
  <si>
    <t>Fiscal year average is based on data Oct. 2020 through Sep. 2021</t>
  </si>
  <si>
    <t xml:space="preserve"> December 2020</t>
  </si>
  <si>
    <t>January 2021</t>
  </si>
  <si>
    <t xml:space="preserve"> February 2021</t>
  </si>
  <si>
    <t xml:space="preserve"> March 2021</t>
  </si>
  <si>
    <t xml:space="preserve"> April 2021</t>
  </si>
  <si>
    <t xml:space="preserve">  May 2021</t>
  </si>
  <si>
    <t xml:space="preserve"> June 2021</t>
  </si>
  <si>
    <t xml:space="preserve"> July 2021</t>
  </si>
  <si>
    <t xml:space="preserve">  August 2021</t>
  </si>
  <si>
    <t xml:space="preserve"> September 2021</t>
  </si>
  <si>
    <t>Caseload Data - Fiscal Year (FY) 2021</t>
  </si>
  <si>
    <t>LIST OF TABLES</t>
  </si>
  <si>
    <t>Families</t>
  </si>
  <si>
    <t>Recipients</t>
  </si>
  <si>
    <t>Monthly Caseload Data</t>
  </si>
  <si>
    <t>July 2021</t>
  </si>
  <si>
    <t>August 2021</t>
  </si>
  <si>
    <t>September 2021</t>
  </si>
  <si>
    <t>Average Monthly Number of Families</t>
  </si>
  <si>
    <t>Average Monthly Number of Recipients</t>
  </si>
  <si>
    <t xml:space="preserve"> January 2021</t>
  </si>
  <si>
    <t xml:space="preserve"> May 2021</t>
  </si>
  <si>
    <t xml:space="preserve">                                              Temporary Assistance for Needy Families (TANF)</t>
  </si>
  <si>
    <t>AVERAGE MONTHLY NUMBER OF RECIPIENTS, ADULTS, AND CHILDREN: Oct. 2020 - Sep. 2021</t>
  </si>
  <si>
    <t xml:space="preserve">                         AVERAGE MONTHLY NUMBER OF FAMILIES: Oct. 2020 - Sep. 2021</t>
  </si>
  <si>
    <t xml:space="preserve">                                                          2021</t>
  </si>
  <si>
    <t>Average Monthly Numbers: Oct. 2020 - Sep. 2021</t>
  </si>
  <si>
    <t>Oct-20</t>
  </si>
  <si>
    <t>Nov-20</t>
  </si>
  <si>
    <t>Dec-20</t>
  </si>
  <si>
    <t>Jan-21</t>
  </si>
  <si>
    <t>Feb-21</t>
  </si>
  <si>
    <t>Mar-21</t>
  </si>
  <si>
    <t>Apr-21</t>
  </si>
  <si>
    <t>May-21</t>
  </si>
  <si>
    <t>Jun-21</t>
  </si>
  <si>
    <t>Jul-21</t>
  </si>
  <si>
    <t>Aug-21</t>
  </si>
  <si>
    <t>Sep-21</t>
  </si>
  <si>
    <t>Average�FY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</si>
</sst>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i/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9" fillId="0" borderId="0" applyNumberFormat="0" applyFill="0" applyBorder="0" applyAlignment="0" applyProtection="0"/>
  </cellStyleXfs>
  <cellXfs count="139">
    <xf numFmtId="0" fontId="0" fillId="0" borderId="0" xfId="0"/>
    <xf numFmtId="164" fontId="2" fillId="0" borderId="0" xfId="1" applyNumberFormat="1" applyFont="1" applyAlignment="1"/>
    <xf numFmtId="164" fontId="3" fillId="0" borderId="0" xfId="1" applyNumberFormat="1" applyFont="1" applyAlignment="1"/>
    <xf numFmtId="164" fontId="5" fillId="0" borderId="0" xfId="1" applyNumberFormat="1" applyFont="1" applyAlignment="1">
      <alignment horizontal="center"/>
    </xf>
    <xf numFmtId="164" fontId="4" fillId="0" borderId="0" xfId="1" applyNumberFormat="1" applyFont="1" applyAlignment="1"/>
    <xf numFmtId="164" fontId="5" fillId="0" borderId="0" xfId="1" applyNumberFormat="1" applyFont="1" applyAlignment="1"/>
    <xf numFmtId="0" fontId="5" fillId="0" borderId="0" xfId="1" applyNumberFormat="1" applyFont="1" applyAlignment="1"/>
    <xf numFmtId="0" fontId="5" fillId="0" borderId="0" xfId="1" quotePrefix="1" applyNumberFormat="1" applyFont="1" applyAlignment="1"/>
    <xf numFmtId="3" fontId="5" fillId="0" borderId="0" xfId="2" applyNumberFormat="1" applyAlignment="1"/>
    <xf numFmtId="3" fontId="5" fillId="0" borderId="0" xfId="2" applyNumberFormat="1" applyAlignment="1">
      <alignment horizontal="center" wrapText="1"/>
    </xf>
    <xf numFmtId="164" fontId="6" fillId="0" borderId="0" xfId="1" applyNumberFormat="1" applyFont="1" applyBorder="1" applyAlignment="1">
      <alignment horizontal="right"/>
    </xf>
    <xf numFmtId="164" fontId="5" fillId="0" borderId="0" xfId="1" applyNumberFormat="1" applyFont="1" applyAlignment="1">
      <alignment horizontal="right"/>
    </xf>
    <xf numFmtId="3" fontId="5" fillId="0" borderId="0" xfId="2" applyNumberFormat="1" applyAlignment="1">
      <alignment horizontal="right"/>
    </xf>
    <xf numFmtId="0" fontId="5" fillId="0" borderId="0" xfId="2" applyNumberFormat="1" applyAlignment="1">
      <alignment horizontal="left"/>
    </xf>
    <xf numFmtId="3" fontId="5" fillId="0" borderId="0" xfId="1" applyNumberFormat="1" applyFont="1" applyAlignment="1">
      <alignment horizontal="right"/>
    </xf>
    <xf numFmtId="3" fontId="5" fillId="0" borderId="0" xfId="2" applyNumberFormat="1" applyFont="1" applyAlignment="1">
      <alignment horizontal="right"/>
    </xf>
    <xf numFmtId="0" fontId="5" fillId="0" borderId="0" xfId="2" applyNumberFormat="1" applyFont="1" applyAlignment="1">
      <alignment horizontal="left"/>
    </xf>
    <xf numFmtId="3" fontId="3" fillId="0" borderId="0" xfId="2" applyNumberFormat="1" applyFont="1" applyAlignment="1"/>
    <xf numFmtId="0" fontId="5" fillId="0" borderId="0" xfId="1" applyNumberFormat="1" applyFont="1" applyAlignment="1">
      <alignment horizontal="left"/>
    </xf>
    <xf numFmtId="3" fontId="3" fillId="0" borderId="0" xfId="1" applyNumberFormat="1" applyFont="1" applyAlignment="1"/>
    <xf numFmtId="3" fontId="5" fillId="0" borderId="0" xfId="1" applyNumberFormat="1" applyFont="1" applyAlignment="1">
      <alignment horizontal="center" wrapText="1"/>
    </xf>
    <xf numFmtId="0" fontId="5" fillId="0" borderId="0" xfId="2" applyAlignment="1"/>
    <xf numFmtId="0" fontId="5" fillId="0" borderId="0" xfId="2" applyAlignment="1">
      <alignment horizontal="center" wrapText="1"/>
    </xf>
    <xf numFmtId="164" fontId="6" fillId="0" borderId="0" xfId="1" applyNumberFormat="1" applyFont="1" applyBorder="1" applyAlignment="1"/>
    <xf numFmtId="0" fontId="5" fillId="0" borderId="0" xfId="2" applyNumberFormat="1" applyAlignment="1"/>
    <xf numFmtId="0" fontId="4" fillId="0" borderId="0" xfId="1" applyNumberFormat="1" applyFont="1" applyBorder="1" applyAlignment="1"/>
    <xf numFmtId="0" fontId="5" fillId="0" borderId="0" xfId="1" applyNumberFormat="1" applyFont="1" applyAlignment="1">
      <alignment horizontal="left"/>
    </xf>
    <xf numFmtId="164" fontId="2" fillId="0" borderId="0" xfId="1" applyNumberFormat="1" applyFont="1" applyAlignment="1"/>
    <xf numFmtId="0" fontId="3" fillId="0" borderId="0" xfId="1" applyNumberFormat="1" applyFont="1" applyAlignment="1">
      <alignment horizontal="left"/>
    </xf>
    <xf numFmtId="0" fontId="4" fillId="0" borderId="0" xfId="1" applyNumberFormat="1" applyFont="1" applyBorder="1" applyAlignment="1">
      <alignment horizontal="left"/>
    </xf>
    <xf numFmtId="0" fontId="2" fillId="0" borderId="0" xfId="1" applyNumberFormat="1" applyFont="1" applyAlignment="1">
      <alignment horizontal="left"/>
    </xf>
    <xf numFmtId="14" fontId="4" fillId="0" borderId="0" xfId="1" applyNumberFormat="1" applyFont="1" applyBorder="1" applyAlignment="1">
      <alignment horizontal="left"/>
    </xf>
    <xf numFmtId="0" fontId="5" fillId="0" borderId="0" xfId="2" applyNumberFormat="1" applyAlignment="1">
      <alignment horizontal="left"/>
    </xf>
    <xf numFmtId="0" fontId="4" fillId="0" borderId="3" xfId="1" applyNumberFormat="1" applyFont="1" applyBorder="1" applyAlignment="1"/>
    <xf numFmtId="0" fontId="4" fillId="0" borderId="3" xfId="1" applyNumberFormat="1" applyFont="1" applyBorder="1" applyAlignment="1">
      <alignment horizontal="left"/>
    </xf>
    <xf numFmtId="0" fontId="5" fillId="0" borderId="0" xfId="2" applyNumberFormat="1" applyFont="1" applyAlignment="1">
      <alignment horizontal="left"/>
    </xf>
    <xf numFmtId="0" fontId="5" fillId="0" borderId="0" xfId="1" applyNumberFormat="1" applyFont="1" applyAlignment="1"/>
    <xf numFmtId="0" fontId="5" fillId="0" borderId="0" xfId="2" applyNumberFormat="1" applyAlignment="1"/>
    <xf numFmtId="0" fontId="3" fillId="0" borderId="0" xfId="1" applyNumberFormat="1" applyFont="1" applyAlignment="1"/>
    <xf numFmtId="164" fontId="2" fillId="0" borderId="0" xfId="1" applyNumberFormat="1" applyFont="1" applyAlignment="1">
      <alignment horizontal="left"/>
    </xf>
    <xf numFmtId="0" fontId="2" fillId="0" borderId="0" xfId="1" applyNumberFormat="1" applyFont="1" applyAlignment="1"/>
    <xf numFmtId="14" fontId="4" fillId="0" borderId="3" xfId="1" applyNumberFormat="1" applyFont="1" applyBorder="1" applyAlignment="1">
      <alignment horizontal="left"/>
    </xf>
    <xf numFmtId="0" fontId="5" fillId="0" borderId="0" xfId="2" applyNumberFormat="1" applyFont="1" applyAlignment="1"/>
    <xf numFmtId="0" fontId="2" fillId="0" borderId="0" xfId="2" quotePrefix="1" applyFont="1" applyAlignment="1">
      <alignment horizontal="centerContinuous"/>
    </xf>
    <xf numFmtId="3" fontId="5" fillId="0" borderId="0" xfId="2" applyNumberFormat="1"/>
    <xf numFmtId="0" fontId="3" fillId="0" borderId="0" xfId="2" applyFont="1" applyAlignment="1">
      <alignment horizontal="centerContinuous"/>
    </xf>
    <xf numFmtId="0" fontId="2" fillId="0" borderId="0" xfId="1" quotePrefix="1" applyNumberFormat="1" applyFont="1" applyAlignment="1">
      <alignment horizontal="centerContinuous"/>
    </xf>
    <xf numFmtId="0" fontId="3" fillId="0" borderId="0" xfId="1" applyNumberFormat="1" applyFont="1" applyAlignment="1">
      <alignment horizontal="centerContinuous"/>
    </xf>
    <xf numFmtId="0" fontId="4" fillId="0" borderId="0" xfId="1" applyNumberFormat="1" applyFont="1" applyFill="1" applyBorder="1" applyAlignment="1">
      <alignment horizontal="left"/>
    </xf>
    <xf numFmtId="0" fontId="9" fillId="0" borderId="0" xfId="3" quotePrefix="1" applyNumberFormat="1" applyAlignment="1">
      <alignment horizontal="left" indent="1"/>
    </xf>
    <xf numFmtId="0" fontId="13" fillId="0" borderId="0" xfId="1" quotePrefix="1" applyNumberFormat="1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0" fillId="0" borderId="0" xfId="0" applyFont="1"/>
    <xf numFmtId="164" fontId="6" fillId="0" borderId="2" xfId="1" applyNumberFormat="1" applyFont="1" applyFill="1" applyBorder="1" applyAlignment="1">
      <alignment horizontal="right"/>
    </xf>
    <xf numFmtId="164" fontId="5" fillId="0" borderId="2" xfId="1" applyNumberFormat="1" applyFont="1" applyFill="1" applyBorder="1" applyAlignment="1">
      <alignment horizontal="right"/>
    </xf>
    <xf numFmtId="14" fontId="4" fillId="0" borderId="0" xfId="1" applyNumberFormat="1" applyFont="1" applyFill="1" applyBorder="1" applyAlignment="1">
      <alignment horizontal="left"/>
    </xf>
    <xf numFmtId="0" fontId="2" fillId="0" borderId="0" xfId="0" quotePrefix="1" applyFont="1" applyFill="1" applyAlignment="1">
      <alignment horizontal="left"/>
    </xf>
    <xf numFmtId="0" fontId="2" fillId="0" borderId="0" xfId="0" quotePrefix="1" applyFont="1" applyFill="1" applyAlignment="1">
      <alignment horizontal="left" vertical="center"/>
    </xf>
    <xf numFmtId="0" fontId="2" fillId="0" borderId="0" xfId="0" applyFont="1" applyFill="1" applyAlignment="1">
      <alignment horizontal="centerContinuous"/>
    </xf>
    <xf numFmtId="0" fontId="2" fillId="0" borderId="0" xfId="0" quotePrefix="1" applyFont="1" applyFill="1" applyAlignment="1">
      <alignment horizontal="centerContinuous"/>
    </xf>
    <xf numFmtId="0" fontId="7" fillId="0" borderId="0" xfId="0" applyFont="1" applyFill="1" applyAlignment="1">
      <alignment horizontal="centerContinuous"/>
    </xf>
    <xf numFmtId="0" fontId="5" fillId="0" borderId="0" xfId="0" applyFont="1" applyFill="1"/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Continuous"/>
    </xf>
    <xf numFmtId="0" fontId="5" fillId="0" borderId="0" xfId="0" applyFont="1" applyFill="1" applyAlignment="1"/>
    <xf numFmtId="0" fontId="5" fillId="0" borderId="2" xfId="0" applyFont="1" applyFill="1" applyBorder="1" applyAlignment="1">
      <alignment horizontal="center" wrapText="1"/>
    </xf>
    <xf numFmtId="0" fontId="5" fillId="0" borderId="0" xfId="0" applyFont="1" applyFill="1" applyBorder="1" applyAlignment="1"/>
    <xf numFmtId="164" fontId="8" fillId="0" borderId="0" xfId="1" applyNumberFormat="1" applyFont="1" applyFill="1" applyAlignment="1"/>
    <xf numFmtId="164" fontId="6" fillId="0" borderId="1" xfId="1" applyNumberFormat="1" applyFont="1" applyFill="1" applyBorder="1" applyAlignment="1">
      <alignment horizontal="right"/>
    </xf>
    <xf numFmtId="164" fontId="8" fillId="0" borderId="0" xfId="1" applyNumberFormat="1" applyFont="1" applyFill="1" applyBorder="1" applyAlignment="1"/>
    <xf numFmtId="164" fontId="5" fillId="0" borderId="0" xfId="1" applyNumberFormat="1" applyFont="1" applyFill="1" applyAlignment="1"/>
    <xf numFmtId="164" fontId="5" fillId="0" borderId="0" xfId="1" applyNumberFormat="1" applyFont="1" applyFill="1" applyBorder="1" applyAlignment="1"/>
    <xf numFmtId="14" fontId="4" fillId="0" borderId="3" xfId="1" applyNumberFormat="1" applyFont="1" applyFill="1" applyBorder="1" applyAlignment="1">
      <alignment horizontal="left"/>
    </xf>
    <xf numFmtId="0" fontId="4" fillId="0" borderId="3" xfId="1" applyNumberFormat="1" applyFont="1" applyFill="1" applyBorder="1" applyAlignment="1">
      <alignment horizontal="left"/>
    </xf>
    <xf numFmtId="0" fontId="4" fillId="0" borderId="0" xfId="1" applyNumberFormat="1" applyFont="1" applyFill="1" applyBorder="1" applyAlignment="1"/>
    <xf numFmtId="0" fontId="5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/>
    </xf>
    <xf numFmtId="0" fontId="5" fillId="0" borderId="0" xfId="0" applyNumberFormat="1" applyFont="1" applyFill="1" applyAlignment="1"/>
    <xf numFmtId="0" fontId="5" fillId="0" borderId="0" xfId="0" applyFont="1" applyFill="1" applyAlignment="1">
      <alignment horizontal="right"/>
    </xf>
    <xf numFmtId="0" fontId="2" fillId="0" borderId="0" xfId="0" quotePrefix="1" applyNumberFormat="1" applyFont="1" applyFill="1" applyAlignment="1">
      <alignment horizontal="centerContinuous"/>
    </xf>
    <xf numFmtId="0" fontId="2" fillId="0" borderId="0" xfId="0" applyNumberFormat="1" applyFont="1" applyFill="1" applyAlignment="1">
      <alignment horizontal="centerContinuous"/>
    </xf>
    <xf numFmtId="0" fontId="3" fillId="0" borderId="0" xfId="0" applyNumberFormat="1" applyFont="1" applyFill="1" applyAlignment="1">
      <alignment horizontal="centerContinuous"/>
    </xf>
    <xf numFmtId="0" fontId="3" fillId="0" borderId="0" xfId="0" applyNumberFormat="1" applyFont="1" applyFill="1" applyBorder="1" applyAlignment="1">
      <alignment horizontal="centerContinuous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64" fontId="6" fillId="0" borderId="0" xfId="1" applyNumberFormat="1" applyFont="1" applyFill="1" applyBorder="1" applyAlignment="1"/>
    <xf numFmtId="0" fontId="4" fillId="0" borderId="3" xfId="1" applyNumberFormat="1" applyFont="1" applyFill="1" applyBorder="1" applyAlignment="1"/>
    <xf numFmtId="0" fontId="9" fillId="0" borderId="0" xfId="3" applyAlignment="1">
      <alignment horizontal="left" indent="1"/>
    </xf>
    <xf numFmtId="0" fontId="9" fillId="0" borderId="0" xfId="3" applyNumberFormat="1" applyAlignment="1">
      <alignment horizontal="left" indent="1"/>
    </xf>
    <xf numFmtId="49" fontId="10" fillId="0" borderId="0" xfId="0" applyNumberFormat="1" applyFont="1" applyAlignment="1"/>
    <xf numFmtId="49" fontId="11" fillId="0" borderId="0" xfId="0" applyNumberFormat="1" applyFont="1" applyAlignment="1"/>
    <xf numFmtId="49" fontId="12" fillId="0" borderId="0" xfId="0" applyNumberFormat="1" applyFont="1" applyAlignment="1"/>
    <xf numFmtId="14" fontId="4" fillId="0" borderId="0" xfId="1" applyNumberFormat="1" applyFont="1" applyBorder="1" applyAlignment="1"/>
    <xf numFmtId="164" fontId="6" fillId="0" borderId="4" xfId="1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Continuous"/>
    </xf>
    <xf numFmtId="0" fontId="8" fillId="0" borderId="4" xfId="0" applyNumberFormat="1" applyFont="1" applyBorder="1" applyAlignment="1">
      <alignment horizontal="center"/>
    </xf>
    <xf numFmtId="17" fontId="8" fillId="0" borderId="4" xfId="1" applyNumberFormat="1" applyFont="1" applyBorder="1" applyAlignment="1">
      <alignment horizontal="center"/>
    </xf>
    <xf numFmtId="17" fontId="8" fillId="0" borderId="1" xfId="1" applyNumberFormat="1" applyFont="1" applyBorder="1" applyAlignment="1">
      <alignment horizontal="center" wrapText="1"/>
    </xf>
    <xf numFmtId="0" fontId="6" fillId="2" borderId="4" xfId="1" applyNumberFormat="1" applyFont="1" applyFill="1" applyBorder="1" applyAlignment="1">
      <alignment horizontal="center"/>
    </xf>
    <xf numFmtId="164" fontId="6" fillId="2" borderId="4" xfId="1" applyNumberFormat="1" applyFont="1" applyFill="1" applyBorder="1" applyAlignment="1"/>
    <xf numFmtId="164" fontId="6" fillId="2" borderId="1" xfId="1" applyNumberFormat="1" applyFont="1" applyFill="1" applyBorder="1" applyAlignment="1"/>
    <xf numFmtId="0" fontId="5" fillId="0" borderId="6" xfId="1" applyNumberFormat="1" applyFont="1" applyBorder="1" applyAlignment="1"/>
    <xf numFmtId="164" fontId="5" fillId="0" borderId="6" xfId="1" applyNumberFormat="1" applyFont="1" applyBorder="1" applyAlignment="1"/>
    <xf numFmtId="164" fontId="5" fillId="0" borderId="7" xfId="1" applyNumberFormat="1" applyFont="1" applyBorder="1" applyAlignment="1"/>
    <xf numFmtId="0" fontId="5" fillId="2" borderId="6" xfId="1" applyNumberFormat="1" applyFont="1" applyFill="1" applyBorder="1" applyAlignment="1"/>
    <xf numFmtId="164" fontId="5" fillId="2" borderId="6" xfId="1" applyNumberFormat="1" applyFont="1" applyFill="1" applyBorder="1" applyAlignment="1"/>
    <xf numFmtId="164" fontId="5" fillId="2" borderId="7" xfId="1" applyNumberFormat="1" applyFont="1" applyFill="1" applyBorder="1" applyAlignment="1"/>
    <xf numFmtId="0" fontId="5" fillId="2" borderId="8" xfId="1" applyNumberFormat="1" applyFont="1" applyFill="1" applyBorder="1" applyAlignment="1"/>
    <xf numFmtId="164" fontId="5" fillId="2" borderId="8" xfId="1" applyNumberFormat="1" applyFont="1" applyFill="1" applyBorder="1" applyAlignment="1"/>
    <xf numFmtId="164" fontId="5" fillId="2" borderId="5" xfId="1" applyNumberFormat="1" applyFont="1" applyFill="1" applyBorder="1" applyAlignment="1"/>
    <xf numFmtId="0" fontId="8" fillId="0" borderId="4" xfId="0" applyNumberFormat="1" applyFont="1" applyFill="1" applyBorder="1" applyAlignment="1">
      <alignment horizontal="center"/>
    </xf>
    <xf numFmtId="17" fontId="8" fillId="0" borderId="4" xfId="1" applyNumberFormat="1" applyFont="1" applyFill="1" applyBorder="1" applyAlignment="1">
      <alignment horizontal="center"/>
    </xf>
    <xf numFmtId="17" fontId="8" fillId="0" borderId="1" xfId="1" applyNumberFormat="1" applyFont="1" applyFill="1" applyBorder="1" applyAlignment="1">
      <alignment horizontal="center" wrapText="1"/>
    </xf>
    <xf numFmtId="0" fontId="6" fillId="0" borderId="4" xfId="1" applyNumberFormat="1" applyFont="1" applyFill="1" applyBorder="1" applyAlignment="1">
      <alignment horizontal="center"/>
    </xf>
    <xf numFmtId="164" fontId="6" fillId="0" borderId="4" xfId="1" applyNumberFormat="1" applyFont="1" applyFill="1" applyBorder="1" applyAlignment="1"/>
    <xf numFmtId="164" fontId="6" fillId="0" borderId="1" xfId="1" applyNumberFormat="1" applyFont="1" applyFill="1" applyBorder="1" applyAlignment="1"/>
    <xf numFmtId="0" fontId="5" fillId="0" borderId="6" xfId="1" applyNumberFormat="1" applyFont="1" applyFill="1" applyBorder="1" applyAlignment="1"/>
    <xf numFmtId="164" fontId="5" fillId="0" borderId="6" xfId="1" applyNumberFormat="1" applyFont="1" applyFill="1" applyBorder="1" applyAlignment="1"/>
    <xf numFmtId="164" fontId="5" fillId="0" borderId="7" xfId="1" applyNumberFormat="1" applyFont="1" applyFill="1" applyBorder="1" applyAlignment="1"/>
    <xf numFmtId="164" fontId="5" fillId="0" borderId="6" xfId="1" applyNumberFormat="1" applyFont="1" applyFill="1" applyBorder="1" applyAlignment="1">
      <alignment horizontal="center"/>
    </xf>
    <xf numFmtId="164" fontId="5" fillId="0" borderId="6" xfId="1" applyNumberFormat="1" applyFont="1" applyFill="1" applyBorder="1" applyAlignment="1">
      <alignment horizontal="left"/>
    </xf>
    <xf numFmtId="0" fontId="5" fillId="0" borderId="8" xfId="1" applyNumberFormat="1" applyFont="1" applyFill="1" applyBorder="1" applyAlignment="1"/>
    <xf numFmtId="164" fontId="5" fillId="0" borderId="8" xfId="1" applyNumberFormat="1" applyFont="1" applyFill="1" applyBorder="1" applyAlignment="1"/>
    <xf numFmtId="164" fontId="5" fillId="0" borderId="8" xfId="1" applyNumberFormat="1" applyFont="1" applyFill="1" applyBorder="1" applyAlignment="1">
      <alignment horizontal="center"/>
    </xf>
    <xf numFmtId="164" fontId="5" fillId="0" borderId="5" xfId="1" applyNumberFormat="1" applyFont="1" applyFill="1" applyBorder="1" applyAlignment="1"/>
    <xf numFmtId="0" fontId="8" fillId="0" borderId="4" xfId="0" applyNumberFormat="1" applyFont="1" applyFill="1" applyBorder="1" applyAlignment="1">
      <alignment horizontal="center" wrapText="1"/>
    </xf>
    <xf numFmtId="0" fontId="8" fillId="0" borderId="4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wrapText="1"/>
    </xf>
    <xf numFmtId="164" fontId="5" fillId="0" borderId="6" xfId="1" applyNumberFormat="1" applyFont="1" applyFill="1" applyBorder="1" applyAlignment="1">
      <alignment horizontal="right"/>
    </xf>
    <xf numFmtId="164" fontId="5" fillId="0" borderId="7" xfId="1" applyNumberFormat="1" applyFont="1" applyFill="1" applyBorder="1" applyAlignment="1">
      <alignment horizontal="right"/>
    </xf>
    <xf numFmtId="164" fontId="5" fillId="0" borderId="8" xfId="1" applyNumberFormat="1" applyFont="1" applyFill="1" applyBorder="1" applyAlignment="1">
      <alignment horizontal="right"/>
    </xf>
    <xf numFmtId="164" fontId="5" fillId="0" borderId="5" xfId="1" applyNumberFormat="1" applyFont="1" applyFill="1" applyBorder="1" applyAlignment="1">
      <alignment horizontal="right"/>
    </xf>
    <xf numFmtId="0" fontId="5" fillId="0" borderId="6" xfId="1" applyNumberFormat="1" applyFont="1" applyFill="1" applyBorder="1" applyAlignment="1">
      <alignment horizontal="left"/>
    </xf>
    <xf numFmtId="0" fontId="5" fillId="0" borderId="8" xfId="1" applyNumberFormat="1" applyFont="1" applyFill="1" applyBorder="1" applyAlignment="1">
      <alignment horizontal="left"/>
    </xf>
    <xf numFmtId="0" fontId="8" fillId="0" borderId="4" xfId="0" applyNumberFormat="1" applyFont="1" applyFill="1" applyBorder="1" applyAlignment="1"/>
    <xf numFmtId="0" fontId="8" fillId="0" borderId="4" xfId="0" applyNumberFormat="1" applyFont="1" applyFill="1" applyBorder="1" applyAlignment="1">
      <alignment wrapText="1"/>
    </xf>
  </cellXfs>
  <cellStyles count="4">
    <cellStyle name="Comma" xfId="1" builtinId="3"/>
    <cellStyle name="Hyperlink" xfId="3" builtinId="8"/>
    <cellStyle name="Normal" xfId="0" builtinId="0"/>
    <cellStyle name="Normal_200415monthsss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29" Type="http://schemas.openxmlformats.org/officeDocument/2006/relationships/customXml" Target="../customXml/item3.xml"/><Relationship Id="rId24" Type="http://schemas.openxmlformats.org/officeDocument/2006/relationships/styles" Target="styles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D6FA6D-C445-43D2-9DAB-189B02EB61F6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X1A0T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D7F2727-78F2-4C13-AF53-1242FD8232E8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X2A0T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2DE4D62-BAE2-4C78-922C-FB157ED624F0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X3A0T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7797B8-FAD8-46E3-89D4-6F158CE33829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X4A0T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A4CDF83-00ED-497F-8291-47B4FDE2FF50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X5A0T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D45197-AC4C-4D1B-9C29-BC59557374C0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X6A0T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5D11AD-B085-49B5-B5C8-163C59450709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X7A0T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235ACCA-014E-42D2-B6D7-6CFD524065FC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X8A0T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C48D45-89EB-4E14-ACA5-7DEC274104B3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X9A0T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D3C36AE-637A-4825-AB6E-DDF419F48ABB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X10A0T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24FCA4-38AC-4694-ACDD-CB46E7C7E089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X11A0T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32A0E97-CB4D-4D96-9BF9-38C6C70AAFF1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X12A0T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5C0F3B-4B80-4F4F-9243-AE3A6D66735A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X13A0T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2FF768-8BB2-46CB-97FB-F8C98B49F8B6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X14A0T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CE02FCD-2C5D-4F2E-9BCF-4EA1C798877F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X15A0T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04792A-7D49-4BB0-B57A-69FF6D16F455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X16A0T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24499CB-8FD2-438A-8325-8993E3F0C439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X17A0T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A36BA2-6CC0-41ED-A055-4029D1989DD9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X18A0T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C9F9EA-E94B-4A4D-86CD-4A5A7A8365AB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X19A0T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FBEAA91-4374-4FE3-AA26-1BC3C8E9C70C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X20A0T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9525</xdr:rowOff>
    </xdr:from>
    <xdr:to>
      <xdr:col>0</xdr:col>
      <xdr:colOff>66675</xdr:colOff>
      <xdr:row>0</xdr:row>
      <xdr:rowOff>112117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7C26C82-800A-4C35-8592-E87E2D538CE9}"/>
            </a:ext>
          </a:extLst>
        </xdr:cNvPr>
        <xdr:cNvSpPr txBox="1"/>
      </xdr:nvSpPr>
      <xdr:spPr>
        <a:xfrm>
          <a:off x="9525" y="9525"/>
          <a:ext cx="57150" cy="102592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>
          <a:spAutoFit/>
        </a:bodyPr>
        <a:lstStyle/>
        <a:p>
          <a:pPr algn="l" rtl="0"/>
          <a:r>
            <a:rPr lang="en-US" sz="100">
              <a:latin typeface="ZWAdobeF" pitchFamily="2" charset="0"/>
            </a:rPr>
            <a:t>X21A0T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63"/>
  <sheetViews>
    <sheetView zoomScaleNormal="100" workbookViewId="0">
      <selection activeCell="A4" sqref="A4"/>
    </sheetView>
  </sheetViews>
  <sheetFormatPr defaultColWidth="9.1796875" defaultRowHeight="10" x14ac:dyDescent="0.2"/>
  <cols>
    <col min="1" max="1" width="14.1796875" style="6" bestFit="1" customWidth="1"/>
    <col min="2" max="14" width="10" style="5" customWidth="1"/>
    <col min="15" max="16384" width="9.1796875" style="5"/>
  </cols>
  <sheetData>
    <row r="1" spans="1:14" s="1" customFormat="1" ht="15.5" x14ac:dyDescent="0.35">
      <c r="A1" s="39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s="2" customFormat="1" ht="12.5" x14ac:dyDescent="0.25">
      <c r="A2" s="38" t="s">
        <v>77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</row>
    <row r="3" spans="1:14" s="2" customFormat="1" ht="12.5" x14ac:dyDescent="0.25">
      <c r="A3" s="31">
        <v>44630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s="3" customFormat="1" ht="20" x14ac:dyDescent="0.2">
      <c r="A4" s="113" t="s">
        <v>1</v>
      </c>
      <c r="B4" s="114" t="s">
        <v>108</v>
      </c>
      <c r="C4" s="114" t="s">
        <v>109</v>
      </c>
      <c r="D4" s="114" t="s">
        <v>110</v>
      </c>
      <c r="E4" s="114" t="s">
        <v>111</v>
      </c>
      <c r="F4" s="114" t="s">
        <v>112</v>
      </c>
      <c r="G4" s="114" t="s">
        <v>113</v>
      </c>
      <c r="H4" s="114" t="s">
        <v>114</v>
      </c>
      <c r="I4" s="114" t="s">
        <v>115</v>
      </c>
      <c r="J4" s="114" t="s">
        <v>116</v>
      </c>
      <c r="K4" s="114" t="s">
        <v>117</v>
      </c>
      <c r="L4" s="114" t="s">
        <v>118</v>
      </c>
      <c r="M4" s="114" t="s">
        <v>119</v>
      </c>
      <c r="N4" s="115" t="s">
        <v>78</v>
      </c>
    </row>
    <row r="5" spans="1:14" s="4" customFormat="1" x14ac:dyDescent="0.2">
      <c r="A5" s="116" t="s">
        <v>2</v>
      </c>
      <c r="B5" s="117">
        <f>SUM(B6:B59)</f>
        <v>865205</v>
      </c>
      <c r="C5" s="117">
        <f t="shared" ref="C5:M5" si="0">SUM(C6:C59)</f>
        <v>845727</v>
      </c>
      <c r="D5" s="117">
        <f t="shared" si="0"/>
        <v>838628</v>
      </c>
      <c r="E5" s="117">
        <f t="shared" si="0"/>
        <v>827921</v>
      </c>
      <c r="F5" s="117">
        <f t="shared" si="0"/>
        <v>822794</v>
      </c>
      <c r="G5" s="117">
        <f t="shared" si="0"/>
        <v>817206</v>
      </c>
      <c r="H5" s="117">
        <f t="shared" si="0"/>
        <v>793925</v>
      </c>
      <c r="I5" s="117">
        <f t="shared" si="0"/>
        <v>781612</v>
      </c>
      <c r="J5" s="117">
        <f t="shared" si="0"/>
        <v>771177</v>
      </c>
      <c r="K5" s="117">
        <f t="shared" si="0"/>
        <v>772494</v>
      </c>
      <c r="L5" s="117">
        <f t="shared" si="0"/>
        <v>759302</v>
      </c>
      <c r="M5" s="117">
        <f t="shared" si="0"/>
        <v>753414</v>
      </c>
      <c r="N5" s="118">
        <f>AVERAGE(B5:M5)</f>
        <v>804117.08333333337</v>
      </c>
    </row>
    <row r="6" spans="1:14" x14ac:dyDescent="0.2">
      <c r="A6" s="119" t="s">
        <v>3</v>
      </c>
      <c r="B6" s="120">
        <v>7242</v>
      </c>
      <c r="C6" s="120">
        <v>7228</v>
      </c>
      <c r="D6" s="120">
        <v>7219</v>
      </c>
      <c r="E6" s="120">
        <v>6889</v>
      </c>
      <c r="F6" s="120">
        <v>6542</v>
      </c>
      <c r="G6" s="120">
        <v>6267</v>
      </c>
      <c r="H6" s="120">
        <v>5973</v>
      </c>
      <c r="I6" s="120">
        <v>5658</v>
      </c>
      <c r="J6" s="120">
        <v>5415</v>
      </c>
      <c r="K6" s="120">
        <v>5478</v>
      </c>
      <c r="L6" s="120">
        <v>5632</v>
      </c>
      <c r="M6" s="120">
        <v>5678</v>
      </c>
      <c r="N6" s="121">
        <f t="shared" ref="N6:N36" si="1">AVERAGE(B6:M6)</f>
        <v>6268.416666666667</v>
      </c>
    </row>
    <row r="7" spans="1:14" x14ac:dyDescent="0.2">
      <c r="A7" s="119" t="s">
        <v>4</v>
      </c>
      <c r="B7" s="120">
        <v>2161</v>
      </c>
      <c r="C7" s="120">
        <v>2013</v>
      </c>
      <c r="D7" s="120">
        <v>1912</v>
      </c>
      <c r="E7" s="120">
        <v>1817</v>
      </c>
      <c r="F7" s="120">
        <v>1840</v>
      </c>
      <c r="G7" s="120">
        <v>1809</v>
      </c>
      <c r="H7" s="122">
        <v>1755</v>
      </c>
      <c r="I7" s="122">
        <v>1672</v>
      </c>
      <c r="J7" s="122">
        <v>1602</v>
      </c>
      <c r="K7" s="120">
        <v>1586</v>
      </c>
      <c r="L7" s="120">
        <v>1560</v>
      </c>
      <c r="M7" s="120">
        <v>1573</v>
      </c>
      <c r="N7" s="121">
        <f t="shared" si="1"/>
        <v>1775</v>
      </c>
    </row>
    <row r="8" spans="1:14" x14ac:dyDescent="0.2">
      <c r="A8" s="119" t="s">
        <v>5</v>
      </c>
      <c r="B8" s="120">
        <v>7986</v>
      </c>
      <c r="C8" s="120">
        <v>7581</v>
      </c>
      <c r="D8" s="120">
        <v>7675</v>
      </c>
      <c r="E8" s="120">
        <v>6792</v>
      </c>
      <c r="F8" s="120">
        <v>6892</v>
      </c>
      <c r="G8" s="120">
        <v>6963</v>
      </c>
      <c r="H8" s="120">
        <v>6978</v>
      </c>
      <c r="I8" s="120">
        <v>7011</v>
      </c>
      <c r="J8" s="120">
        <v>6866</v>
      </c>
      <c r="K8" s="120">
        <v>6644</v>
      </c>
      <c r="L8" s="120">
        <v>6318</v>
      </c>
      <c r="M8" s="120">
        <v>6113</v>
      </c>
      <c r="N8" s="121">
        <f t="shared" si="1"/>
        <v>6984.916666666667</v>
      </c>
    </row>
    <row r="9" spans="1:14" x14ac:dyDescent="0.2">
      <c r="A9" s="119" t="s">
        <v>6</v>
      </c>
      <c r="B9" s="120">
        <v>2024</v>
      </c>
      <c r="C9" s="120">
        <v>1953</v>
      </c>
      <c r="D9" s="120">
        <v>1916</v>
      </c>
      <c r="E9" s="120">
        <v>1809</v>
      </c>
      <c r="F9" s="120">
        <v>1786</v>
      </c>
      <c r="G9" s="120">
        <v>1772</v>
      </c>
      <c r="H9" s="123">
        <v>1685</v>
      </c>
      <c r="I9" s="123">
        <v>1615</v>
      </c>
      <c r="J9" s="123">
        <v>1553</v>
      </c>
      <c r="K9" s="120">
        <v>1413</v>
      </c>
      <c r="L9" s="120">
        <v>1397</v>
      </c>
      <c r="M9" s="120">
        <v>1365</v>
      </c>
      <c r="N9" s="121">
        <f t="shared" si="1"/>
        <v>1690.6666666666667</v>
      </c>
    </row>
    <row r="10" spans="1:14" x14ac:dyDescent="0.2">
      <c r="A10" s="119" t="s">
        <v>7</v>
      </c>
      <c r="B10" s="120">
        <v>252934</v>
      </c>
      <c r="C10" s="120">
        <v>243350</v>
      </c>
      <c r="D10" s="120">
        <v>239355</v>
      </c>
      <c r="E10" s="120">
        <v>238456</v>
      </c>
      <c r="F10" s="120">
        <v>238190</v>
      </c>
      <c r="G10" s="120">
        <v>242476</v>
      </c>
      <c r="H10" s="123">
        <v>234282</v>
      </c>
      <c r="I10" s="123">
        <v>233292</v>
      </c>
      <c r="J10" s="123">
        <v>232429</v>
      </c>
      <c r="K10" s="120">
        <v>235806</v>
      </c>
      <c r="L10" s="120">
        <v>229903</v>
      </c>
      <c r="M10" s="120">
        <v>230894</v>
      </c>
      <c r="N10" s="121">
        <f t="shared" si="1"/>
        <v>237613.91666666666</v>
      </c>
    </row>
    <row r="11" spans="1:14" x14ac:dyDescent="0.2">
      <c r="A11" s="119" t="s">
        <v>8</v>
      </c>
      <c r="B11" s="120">
        <v>13174</v>
      </c>
      <c r="C11" s="120">
        <v>12359</v>
      </c>
      <c r="D11" s="120">
        <v>12415</v>
      </c>
      <c r="E11" s="120">
        <v>12600</v>
      </c>
      <c r="F11" s="120">
        <v>12406</v>
      </c>
      <c r="G11" s="120">
        <v>12180</v>
      </c>
      <c r="H11" s="120">
        <v>11552</v>
      </c>
      <c r="I11" s="120">
        <v>11220</v>
      </c>
      <c r="J11" s="120">
        <v>10549</v>
      </c>
      <c r="K11" s="120">
        <v>10472</v>
      </c>
      <c r="L11" s="120">
        <v>10158</v>
      </c>
      <c r="M11" s="120">
        <v>10373</v>
      </c>
      <c r="N11" s="121">
        <f t="shared" si="1"/>
        <v>11621.5</v>
      </c>
    </row>
    <row r="12" spans="1:14" x14ac:dyDescent="0.2">
      <c r="A12" s="119" t="s">
        <v>9</v>
      </c>
      <c r="B12" s="120">
        <v>6394</v>
      </c>
      <c r="C12" s="120">
        <v>6320</v>
      </c>
      <c r="D12" s="120">
        <v>6261</v>
      </c>
      <c r="E12" s="120">
        <v>6150</v>
      </c>
      <c r="F12" s="120">
        <v>6031</v>
      </c>
      <c r="G12" s="120">
        <v>5872</v>
      </c>
      <c r="H12" s="122">
        <v>5706</v>
      </c>
      <c r="I12" s="122">
        <v>5513</v>
      </c>
      <c r="J12" s="122">
        <v>5381</v>
      </c>
      <c r="K12" s="120">
        <v>5230</v>
      </c>
      <c r="L12" s="120">
        <v>4976</v>
      </c>
      <c r="M12" s="120">
        <v>4723</v>
      </c>
      <c r="N12" s="121">
        <f t="shared" si="1"/>
        <v>5713.083333333333</v>
      </c>
    </row>
    <row r="13" spans="1:14" x14ac:dyDescent="0.2">
      <c r="A13" s="119" t="s">
        <v>10</v>
      </c>
      <c r="B13" s="120">
        <v>2713</v>
      </c>
      <c r="C13" s="120">
        <v>2650</v>
      </c>
      <c r="D13" s="120">
        <v>2617</v>
      </c>
      <c r="E13" s="120">
        <v>2609</v>
      </c>
      <c r="F13" s="120">
        <v>2635</v>
      </c>
      <c r="G13" s="120">
        <v>2622</v>
      </c>
      <c r="H13" s="120">
        <v>2615</v>
      </c>
      <c r="I13" s="120">
        <v>2654</v>
      </c>
      <c r="J13" s="120">
        <v>2676</v>
      </c>
      <c r="K13" s="120">
        <v>2690</v>
      </c>
      <c r="L13" s="120">
        <v>2689</v>
      </c>
      <c r="M13" s="120">
        <v>2695</v>
      </c>
      <c r="N13" s="121">
        <f t="shared" si="1"/>
        <v>2655.4166666666665</v>
      </c>
    </row>
    <row r="14" spans="1:14" x14ac:dyDescent="0.2">
      <c r="A14" s="119" t="s">
        <v>11</v>
      </c>
      <c r="B14" s="120">
        <v>6645</v>
      </c>
      <c r="C14" s="120">
        <v>5167</v>
      </c>
      <c r="D14" s="120">
        <v>6349</v>
      </c>
      <c r="E14" s="120">
        <v>5115</v>
      </c>
      <c r="F14" s="120">
        <v>6242</v>
      </c>
      <c r="G14" s="120">
        <v>5853</v>
      </c>
      <c r="H14" s="120">
        <v>5518</v>
      </c>
      <c r="I14" s="120">
        <v>5761</v>
      </c>
      <c r="J14" s="120">
        <v>5787</v>
      </c>
      <c r="K14" s="120">
        <v>8390</v>
      </c>
      <c r="L14" s="120">
        <v>8036</v>
      </c>
      <c r="M14" s="120">
        <v>7383</v>
      </c>
      <c r="N14" s="121">
        <f t="shared" si="1"/>
        <v>6353.833333333333</v>
      </c>
    </row>
    <row r="15" spans="1:14" x14ac:dyDescent="0.2">
      <c r="A15" s="119" t="s">
        <v>12</v>
      </c>
      <c r="B15" s="120">
        <v>44185</v>
      </c>
      <c r="C15" s="120">
        <v>41491</v>
      </c>
      <c r="D15" s="120">
        <v>40332</v>
      </c>
      <c r="E15" s="120">
        <v>39708</v>
      </c>
      <c r="F15" s="120">
        <v>37845</v>
      </c>
      <c r="G15" s="120">
        <v>37687</v>
      </c>
      <c r="H15" s="123">
        <v>37806</v>
      </c>
      <c r="I15" s="123">
        <v>37865</v>
      </c>
      <c r="J15" s="123">
        <v>37643</v>
      </c>
      <c r="K15" s="120">
        <v>36664</v>
      </c>
      <c r="L15" s="120">
        <v>34198</v>
      </c>
      <c r="M15" s="120">
        <v>31956</v>
      </c>
      <c r="N15" s="121">
        <f t="shared" si="1"/>
        <v>38115</v>
      </c>
    </row>
    <row r="16" spans="1:14" x14ac:dyDescent="0.2">
      <c r="A16" s="119" t="s">
        <v>13</v>
      </c>
      <c r="B16" s="120">
        <v>8235</v>
      </c>
      <c r="C16" s="120">
        <v>8060</v>
      </c>
      <c r="D16" s="120">
        <v>7999</v>
      </c>
      <c r="E16" s="120">
        <v>8090</v>
      </c>
      <c r="F16" s="120">
        <v>7939</v>
      </c>
      <c r="G16" s="120">
        <v>7691</v>
      </c>
      <c r="H16" s="120">
        <v>7543</v>
      </c>
      <c r="I16" s="120">
        <v>7439</v>
      </c>
      <c r="J16" s="120">
        <v>7320</v>
      </c>
      <c r="K16" s="120">
        <v>7096</v>
      </c>
      <c r="L16" s="120">
        <v>7170</v>
      </c>
      <c r="M16" s="120">
        <v>7286</v>
      </c>
      <c r="N16" s="121">
        <f t="shared" si="1"/>
        <v>7655.666666666667</v>
      </c>
    </row>
    <row r="17" spans="1:14" x14ac:dyDescent="0.2">
      <c r="A17" s="119" t="s">
        <v>14</v>
      </c>
      <c r="B17" s="120">
        <v>462</v>
      </c>
      <c r="C17" s="120">
        <v>437</v>
      </c>
      <c r="D17" s="120">
        <v>432</v>
      </c>
      <c r="E17" s="122">
        <v>402</v>
      </c>
      <c r="F17" s="122">
        <v>401</v>
      </c>
      <c r="G17" s="122">
        <v>387</v>
      </c>
      <c r="H17" s="123">
        <v>368</v>
      </c>
      <c r="I17" s="123">
        <v>349</v>
      </c>
      <c r="J17" s="123">
        <v>348</v>
      </c>
      <c r="K17" s="120">
        <v>348</v>
      </c>
      <c r="L17" s="120">
        <v>335</v>
      </c>
      <c r="M17" s="120">
        <v>333</v>
      </c>
      <c r="N17" s="121">
        <f t="shared" si="1"/>
        <v>383.5</v>
      </c>
    </row>
    <row r="18" spans="1:14" x14ac:dyDescent="0.2">
      <c r="A18" s="119" t="s">
        <v>15</v>
      </c>
      <c r="B18" s="120">
        <v>6533</v>
      </c>
      <c r="C18" s="120">
        <v>6881</v>
      </c>
      <c r="D18" s="120">
        <v>7040</v>
      </c>
      <c r="E18" s="120">
        <v>7008</v>
      </c>
      <c r="F18" s="120">
        <v>7046</v>
      </c>
      <c r="G18" s="120">
        <v>6941</v>
      </c>
      <c r="H18" s="120">
        <v>6806</v>
      </c>
      <c r="I18" s="120">
        <v>6645</v>
      </c>
      <c r="J18" s="120">
        <v>6422</v>
      </c>
      <c r="K18" s="120">
        <v>6304</v>
      </c>
      <c r="L18" s="120">
        <v>5864</v>
      </c>
      <c r="M18" s="120">
        <v>5553</v>
      </c>
      <c r="N18" s="121">
        <f t="shared" si="1"/>
        <v>6586.916666666667</v>
      </c>
    </row>
    <row r="19" spans="1:14" x14ac:dyDescent="0.2">
      <c r="A19" s="119" t="s">
        <v>16</v>
      </c>
      <c r="B19" s="120">
        <v>1779</v>
      </c>
      <c r="C19" s="122">
        <v>1773</v>
      </c>
      <c r="D19" s="122">
        <v>1748</v>
      </c>
      <c r="E19" s="120">
        <v>1713</v>
      </c>
      <c r="F19" s="120">
        <v>1690</v>
      </c>
      <c r="G19" s="120">
        <v>1665</v>
      </c>
      <c r="H19" s="120">
        <v>1639</v>
      </c>
      <c r="I19" s="120">
        <v>1632</v>
      </c>
      <c r="J19" s="120">
        <v>1629</v>
      </c>
      <c r="K19" s="120">
        <v>1616</v>
      </c>
      <c r="L19" s="120">
        <v>1630</v>
      </c>
      <c r="M19" s="120">
        <v>1615</v>
      </c>
      <c r="N19" s="121">
        <f t="shared" si="1"/>
        <v>1677.4166666666667</v>
      </c>
    </row>
    <row r="20" spans="1:14" x14ac:dyDescent="0.2">
      <c r="A20" s="119" t="s">
        <v>17</v>
      </c>
      <c r="B20" s="120">
        <v>10762</v>
      </c>
      <c r="C20" s="120">
        <v>10735</v>
      </c>
      <c r="D20" s="120">
        <v>10615</v>
      </c>
      <c r="E20" s="120">
        <v>10644</v>
      </c>
      <c r="F20" s="120">
        <v>10601</v>
      </c>
      <c r="G20" s="120">
        <v>10451</v>
      </c>
      <c r="H20" s="120">
        <v>11619</v>
      </c>
      <c r="I20" s="120">
        <v>10807</v>
      </c>
      <c r="J20" s="120">
        <v>10669</v>
      </c>
      <c r="K20" s="120">
        <v>10163</v>
      </c>
      <c r="L20" s="120">
        <v>9717</v>
      </c>
      <c r="M20" s="120">
        <v>9673</v>
      </c>
      <c r="N20" s="121">
        <f t="shared" si="1"/>
        <v>10538</v>
      </c>
    </row>
    <row r="21" spans="1:14" x14ac:dyDescent="0.2">
      <c r="A21" s="119" t="s">
        <v>18</v>
      </c>
      <c r="B21" s="120">
        <v>8022</v>
      </c>
      <c r="C21" s="120">
        <v>8183</v>
      </c>
      <c r="D21" s="120">
        <v>8365</v>
      </c>
      <c r="E21" s="120">
        <v>8373</v>
      </c>
      <c r="F21" s="120">
        <v>8410</v>
      </c>
      <c r="G21" s="120">
        <v>8134</v>
      </c>
      <c r="H21" s="120">
        <v>7434</v>
      </c>
      <c r="I21" s="120">
        <v>7184</v>
      </c>
      <c r="J21" s="120">
        <v>6928</v>
      </c>
      <c r="K21" s="120">
        <v>6803</v>
      </c>
      <c r="L21" s="120">
        <v>7285</v>
      </c>
      <c r="M21" s="120">
        <v>6509</v>
      </c>
      <c r="N21" s="121">
        <f t="shared" si="1"/>
        <v>7635.833333333333</v>
      </c>
    </row>
    <row r="22" spans="1:14" x14ac:dyDescent="0.2">
      <c r="A22" s="119" t="s">
        <v>19</v>
      </c>
      <c r="B22" s="120">
        <v>7062</v>
      </c>
      <c r="C22" s="120">
        <v>6870</v>
      </c>
      <c r="D22" s="120">
        <v>6794</v>
      </c>
      <c r="E22" s="120">
        <v>6554</v>
      </c>
      <c r="F22" s="120">
        <v>6560</v>
      </c>
      <c r="G22" s="120">
        <v>6460</v>
      </c>
      <c r="H22" s="123">
        <v>6152</v>
      </c>
      <c r="I22" s="123">
        <v>5930</v>
      </c>
      <c r="J22" s="123">
        <v>5774</v>
      </c>
      <c r="K22" s="120">
        <v>5752</v>
      </c>
      <c r="L22" s="120">
        <v>5358</v>
      </c>
      <c r="M22" s="120">
        <v>5311</v>
      </c>
      <c r="N22" s="121">
        <f t="shared" si="1"/>
        <v>6214.75</v>
      </c>
    </row>
    <row r="23" spans="1:14" x14ac:dyDescent="0.2">
      <c r="A23" s="119" t="s">
        <v>20</v>
      </c>
      <c r="B23" s="120">
        <v>3715</v>
      </c>
      <c r="C23" s="120">
        <v>3520</v>
      </c>
      <c r="D23" s="120">
        <v>3431</v>
      </c>
      <c r="E23" s="120">
        <v>3329</v>
      </c>
      <c r="F23" s="120">
        <v>3288</v>
      </c>
      <c r="G23" s="120">
        <v>3212</v>
      </c>
      <c r="H23" s="123">
        <v>3035</v>
      </c>
      <c r="I23" s="123">
        <v>2880</v>
      </c>
      <c r="J23" s="123">
        <v>2829</v>
      </c>
      <c r="K23" s="120">
        <v>2830</v>
      </c>
      <c r="L23" s="120">
        <v>2840</v>
      </c>
      <c r="M23" s="120">
        <v>2845</v>
      </c>
      <c r="N23" s="121">
        <f t="shared" si="1"/>
        <v>3146.1666666666665</v>
      </c>
    </row>
    <row r="24" spans="1:14" x14ac:dyDescent="0.2">
      <c r="A24" s="119" t="s">
        <v>21</v>
      </c>
      <c r="B24" s="120">
        <v>14386</v>
      </c>
      <c r="C24" s="120">
        <v>14168</v>
      </c>
      <c r="D24" s="120">
        <v>14110</v>
      </c>
      <c r="E24" s="120">
        <v>13879</v>
      </c>
      <c r="F24" s="120">
        <v>13620</v>
      </c>
      <c r="G24" s="120">
        <v>13224</v>
      </c>
      <c r="H24" s="122">
        <v>12879</v>
      </c>
      <c r="I24" s="122">
        <v>12571</v>
      </c>
      <c r="J24" s="122">
        <v>12451</v>
      </c>
      <c r="K24" s="120">
        <v>12299</v>
      </c>
      <c r="L24" s="120">
        <v>12176</v>
      </c>
      <c r="M24" s="120">
        <v>11866</v>
      </c>
      <c r="N24" s="121">
        <f t="shared" si="1"/>
        <v>13135.75</v>
      </c>
    </row>
    <row r="25" spans="1:14" x14ac:dyDescent="0.2">
      <c r="A25" s="119" t="s">
        <v>22</v>
      </c>
      <c r="B25" s="120">
        <v>3027</v>
      </c>
      <c r="C25" s="120">
        <v>3855</v>
      </c>
      <c r="D25" s="120">
        <v>3918</v>
      </c>
      <c r="E25" s="120">
        <v>3890</v>
      </c>
      <c r="F25" s="120">
        <v>3716</v>
      </c>
      <c r="G25" s="120">
        <v>3555</v>
      </c>
      <c r="H25" s="123">
        <v>3360</v>
      </c>
      <c r="I25" s="123">
        <v>3208</v>
      </c>
      <c r="J25" s="123">
        <v>3229</v>
      </c>
      <c r="K25" s="120">
        <v>3041</v>
      </c>
      <c r="L25" s="120">
        <v>2828</v>
      </c>
      <c r="M25" s="120">
        <v>2667</v>
      </c>
      <c r="N25" s="121">
        <f t="shared" si="1"/>
        <v>3357.8333333333335</v>
      </c>
    </row>
    <row r="26" spans="1:14" x14ac:dyDescent="0.2">
      <c r="A26" s="119" t="s">
        <v>23</v>
      </c>
      <c r="B26" s="120">
        <v>3531</v>
      </c>
      <c r="C26" s="120">
        <v>3347</v>
      </c>
      <c r="D26" s="120">
        <v>3522</v>
      </c>
      <c r="E26" s="120">
        <v>3460</v>
      </c>
      <c r="F26" s="120">
        <v>3457</v>
      </c>
      <c r="G26" s="120">
        <v>3325</v>
      </c>
      <c r="H26" s="120">
        <v>3200</v>
      </c>
      <c r="I26" s="120">
        <v>3082</v>
      </c>
      <c r="J26" s="120">
        <v>3133</v>
      </c>
      <c r="K26" s="120">
        <v>3134</v>
      </c>
      <c r="L26" s="120">
        <v>3071</v>
      </c>
      <c r="M26" s="120">
        <v>3110</v>
      </c>
      <c r="N26" s="121">
        <f t="shared" si="1"/>
        <v>3281</v>
      </c>
    </row>
    <row r="27" spans="1:14" x14ac:dyDescent="0.2">
      <c r="A27" s="119" t="s">
        <v>24</v>
      </c>
      <c r="B27" s="120">
        <v>23487</v>
      </c>
      <c r="C27" s="120">
        <v>23039</v>
      </c>
      <c r="D27" s="120">
        <v>23181</v>
      </c>
      <c r="E27" s="120">
        <v>23069</v>
      </c>
      <c r="F27" s="120">
        <v>23119</v>
      </c>
      <c r="G27" s="120">
        <v>22999</v>
      </c>
      <c r="H27" s="122">
        <v>21179</v>
      </c>
      <c r="I27" s="122">
        <v>21113</v>
      </c>
      <c r="J27" s="122">
        <v>20851</v>
      </c>
      <c r="K27" s="120">
        <v>20659</v>
      </c>
      <c r="L27" s="120">
        <v>21124</v>
      </c>
      <c r="M27" s="120">
        <v>20933</v>
      </c>
      <c r="N27" s="121">
        <f t="shared" si="1"/>
        <v>22062.75</v>
      </c>
    </row>
    <row r="28" spans="1:14" x14ac:dyDescent="0.2">
      <c r="A28" s="119" t="s">
        <v>25</v>
      </c>
      <c r="B28" s="120">
        <v>26929</v>
      </c>
      <c r="C28" s="120">
        <v>26560</v>
      </c>
      <c r="D28" s="120">
        <v>26512</v>
      </c>
      <c r="E28" s="120">
        <v>26347</v>
      </c>
      <c r="F28" s="120">
        <v>26152</v>
      </c>
      <c r="G28" s="120">
        <v>25524</v>
      </c>
      <c r="H28" s="120">
        <v>24565</v>
      </c>
      <c r="I28" s="120">
        <v>23867</v>
      </c>
      <c r="J28" s="120">
        <v>23356</v>
      </c>
      <c r="K28" s="120">
        <v>23240</v>
      </c>
      <c r="L28" s="120">
        <v>23902</v>
      </c>
      <c r="M28" s="120">
        <v>26312</v>
      </c>
      <c r="N28" s="121">
        <f t="shared" si="1"/>
        <v>25272.166666666668</v>
      </c>
    </row>
    <row r="29" spans="1:14" x14ac:dyDescent="0.2">
      <c r="A29" s="119" t="s">
        <v>26</v>
      </c>
      <c r="B29" s="120">
        <v>11819</v>
      </c>
      <c r="C29" s="120">
        <v>10762</v>
      </c>
      <c r="D29" s="120">
        <v>10347</v>
      </c>
      <c r="E29" s="120">
        <v>9863</v>
      </c>
      <c r="F29" s="120">
        <v>10023</v>
      </c>
      <c r="G29" s="120">
        <v>9871</v>
      </c>
      <c r="H29" s="123">
        <v>9221</v>
      </c>
      <c r="I29" s="123">
        <v>8624</v>
      </c>
      <c r="J29" s="123">
        <v>8322</v>
      </c>
      <c r="K29" s="120">
        <v>7974</v>
      </c>
      <c r="L29" s="120">
        <v>7840</v>
      </c>
      <c r="M29" s="120">
        <v>7795</v>
      </c>
      <c r="N29" s="121">
        <f t="shared" si="1"/>
        <v>9371.75</v>
      </c>
    </row>
    <row r="30" spans="1:14" x14ac:dyDescent="0.2">
      <c r="A30" s="119" t="s">
        <v>27</v>
      </c>
      <c r="B30" s="120">
        <v>19323</v>
      </c>
      <c r="C30" s="120">
        <v>19680</v>
      </c>
      <c r="D30" s="120">
        <v>20166</v>
      </c>
      <c r="E30" s="120">
        <v>20433</v>
      </c>
      <c r="F30" s="120">
        <v>20400</v>
      </c>
      <c r="G30" s="120">
        <v>19990</v>
      </c>
      <c r="H30" s="123">
        <v>19505</v>
      </c>
      <c r="I30" s="123">
        <v>19150</v>
      </c>
      <c r="J30" s="123">
        <v>18787</v>
      </c>
      <c r="K30" s="120">
        <v>18279</v>
      </c>
      <c r="L30" s="120">
        <v>17773</v>
      </c>
      <c r="M30" s="120">
        <v>17511</v>
      </c>
      <c r="N30" s="121">
        <f t="shared" si="1"/>
        <v>19249.75</v>
      </c>
    </row>
    <row r="31" spans="1:14" x14ac:dyDescent="0.2">
      <c r="A31" s="119" t="s">
        <v>28</v>
      </c>
      <c r="B31" s="120">
        <v>1938</v>
      </c>
      <c r="C31" s="120">
        <v>1877</v>
      </c>
      <c r="D31" s="120">
        <v>1828</v>
      </c>
      <c r="E31" s="120">
        <v>1731</v>
      </c>
      <c r="F31" s="120">
        <v>1674</v>
      </c>
      <c r="G31" s="120">
        <v>1644</v>
      </c>
      <c r="H31" s="123">
        <v>1620</v>
      </c>
      <c r="I31" s="123">
        <v>1549</v>
      </c>
      <c r="J31" s="123">
        <v>1561</v>
      </c>
      <c r="K31" s="120">
        <v>1561</v>
      </c>
      <c r="L31" s="120">
        <v>1589</v>
      </c>
      <c r="M31" s="120">
        <v>1605</v>
      </c>
      <c r="N31" s="121">
        <f t="shared" si="1"/>
        <v>1681.4166666666667</v>
      </c>
    </row>
    <row r="32" spans="1:14" x14ac:dyDescent="0.2">
      <c r="A32" s="119" t="s">
        <v>29</v>
      </c>
      <c r="B32" s="120">
        <v>8225</v>
      </c>
      <c r="C32" s="120">
        <v>7932</v>
      </c>
      <c r="D32" s="120">
        <v>7980</v>
      </c>
      <c r="E32" s="120">
        <v>7637</v>
      </c>
      <c r="F32" s="120">
        <v>7071</v>
      </c>
      <c r="G32" s="120">
        <v>6714</v>
      </c>
      <c r="H32" s="122">
        <v>6267</v>
      </c>
      <c r="I32" s="122">
        <v>5993</v>
      </c>
      <c r="J32" s="122">
        <v>5933</v>
      </c>
      <c r="K32" s="120">
        <v>5993</v>
      </c>
      <c r="L32" s="120">
        <v>5983</v>
      </c>
      <c r="M32" s="120">
        <v>5946</v>
      </c>
      <c r="N32" s="121">
        <f t="shared" si="1"/>
        <v>6806.166666666667</v>
      </c>
    </row>
    <row r="33" spans="1:14" x14ac:dyDescent="0.2">
      <c r="A33" s="119" t="s">
        <v>30</v>
      </c>
      <c r="B33" s="120">
        <v>2563</v>
      </c>
      <c r="C33" s="120">
        <v>2438</v>
      </c>
      <c r="D33" s="120">
        <v>2381</v>
      </c>
      <c r="E33" s="120">
        <v>2257</v>
      </c>
      <c r="F33" s="120">
        <v>2220</v>
      </c>
      <c r="G33" s="120">
        <v>2161</v>
      </c>
      <c r="H33" s="120">
        <v>2098</v>
      </c>
      <c r="I33" s="120">
        <v>2056</v>
      </c>
      <c r="J33" s="120">
        <v>2046</v>
      </c>
      <c r="K33" s="120">
        <v>1982</v>
      </c>
      <c r="L33" s="120">
        <v>1978</v>
      </c>
      <c r="M33" s="120">
        <v>1957</v>
      </c>
      <c r="N33" s="121">
        <f t="shared" si="1"/>
        <v>2178.0833333333335</v>
      </c>
    </row>
    <row r="34" spans="1:14" x14ac:dyDescent="0.2">
      <c r="A34" s="119" t="s">
        <v>31</v>
      </c>
      <c r="B34" s="120">
        <v>4301</v>
      </c>
      <c r="C34" s="120">
        <v>4194</v>
      </c>
      <c r="D34" s="120">
        <v>3867</v>
      </c>
      <c r="E34" s="120">
        <v>3617</v>
      </c>
      <c r="F34" s="120">
        <v>3503</v>
      </c>
      <c r="G34" s="120">
        <v>3438</v>
      </c>
      <c r="H34" s="120">
        <v>3374</v>
      </c>
      <c r="I34" s="120">
        <v>3193</v>
      </c>
      <c r="J34" s="120">
        <v>3004</v>
      </c>
      <c r="K34" s="120">
        <v>2961</v>
      </c>
      <c r="L34" s="120">
        <v>2977</v>
      </c>
      <c r="M34" s="120">
        <v>2983</v>
      </c>
      <c r="N34" s="121">
        <f t="shared" si="1"/>
        <v>3451</v>
      </c>
    </row>
    <row r="35" spans="1:14" x14ac:dyDescent="0.2">
      <c r="A35" s="119" t="s">
        <v>32</v>
      </c>
      <c r="B35" s="120">
        <v>6951</v>
      </c>
      <c r="C35" s="120">
        <v>6658</v>
      </c>
      <c r="D35" s="120">
        <v>6425</v>
      </c>
      <c r="E35" s="120">
        <v>5952</v>
      </c>
      <c r="F35" s="120">
        <v>5735</v>
      </c>
      <c r="G35" s="120">
        <v>5493</v>
      </c>
      <c r="H35" s="120">
        <v>5346</v>
      </c>
      <c r="I35" s="120">
        <v>5080</v>
      </c>
      <c r="J35" s="120">
        <v>4957</v>
      </c>
      <c r="K35" s="120">
        <v>5112</v>
      </c>
      <c r="L35" s="120">
        <v>5332</v>
      </c>
      <c r="M35" s="120">
        <v>5592</v>
      </c>
      <c r="N35" s="121">
        <f t="shared" si="1"/>
        <v>5719.416666666667</v>
      </c>
    </row>
    <row r="36" spans="1:14" x14ac:dyDescent="0.2">
      <c r="A36" s="119" t="s">
        <v>33</v>
      </c>
      <c r="B36" s="120">
        <v>3340</v>
      </c>
      <c r="C36" s="120">
        <v>3231</v>
      </c>
      <c r="D36" s="120">
        <v>3204</v>
      </c>
      <c r="E36" s="120">
        <v>3061</v>
      </c>
      <c r="F36" s="120">
        <v>3002</v>
      </c>
      <c r="G36" s="120">
        <v>2973</v>
      </c>
      <c r="H36" s="120">
        <v>2918</v>
      </c>
      <c r="I36" s="120">
        <v>2874</v>
      </c>
      <c r="J36" s="120">
        <v>2834</v>
      </c>
      <c r="K36" s="120">
        <v>2840</v>
      </c>
      <c r="L36" s="120">
        <v>2798</v>
      </c>
      <c r="M36" s="120">
        <v>2800</v>
      </c>
      <c r="N36" s="121">
        <f t="shared" si="1"/>
        <v>2989.5833333333335</v>
      </c>
    </row>
    <row r="37" spans="1:14" x14ac:dyDescent="0.2">
      <c r="A37" s="119" t="s">
        <v>34</v>
      </c>
      <c r="B37" s="120">
        <v>9683</v>
      </c>
      <c r="C37" s="120">
        <v>9459</v>
      </c>
      <c r="D37" s="120">
        <v>9429</v>
      </c>
      <c r="E37" s="120">
        <v>9312</v>
      </c>
      <c r="F37" s="120">
        <v>9246</v>
      </c>
      <c r="G37" s="120">
        <v>9199</v>
      </c>
      <c r="H37" s="122">
        <v>8961</v>
      </c>
      <c r="I37" s="122">
        <v>8719</v>
      </c>
      <c r="J37" s="122">
        <v>8493</v>
      </c>
      <c r="K37" s="120">
        <v>8280</v>
      </c>
      <c r="L37" s="120">
        <v>8217</v>
      </c>
      <c r="M37" s="120">
        <v>8083</v>
      </c>
      <c r="N37" s="121">
        <f t="shared" ref="N37:N59" si="2">AVERAGE(B37:M37)</f>
        <v>8923.4166666666661</v>
      </c>
    </row>
    <row r="38" spans="1:14" x14ac:dyDescent="0.2">
      <c r="A38" s="119" t="s">
        <v>35</v>
      </c>
      <c r="B38" s="120">
        <v>11142</v>
      </c>
      <c r="C38" s="120">
        <v>11582</v>
      </c>
      <c r="D38" s="120">
        <v>11993</v>
      </c>
      <c r="E38" s="120">
        <v>12049</v>
      </c>
      <c r="F38" s="120">
        <v>11928</v>
      </c>
      <c r="G38" s="120">
        <v>11715</v>
      </c>
      <c r="H38" s="120">
        <v>11443</v>
      </c>
      <c r="I38" s="120">
        <v>11285</v>
      </c>
      <c r="J38" s="120">
        <v>11292</v>
      </c>
      <c r="K38" s="120">
        <v>11313</v>
      </c>
      <c r="L38" s="120">
        <v>11479</v>
      </c>
      <c r="M38" s="120">
        <v>11665</v>
      </c>
      <c r="N38" s="121">
        <f t="shared" si="2"/>
        <v>11573.833333333334</v>
      </c>
    </row>
    <row r="39" spans="1:14" x14ac:dyDescent="0.2">
      <c r="A39" s="119" t="s">
        <v>36</v>
      </c>
      <c r="B39" s="120">
        <v>81425</v>
      </c>
      <c r="C39" s="120">
        <v>79050</v>
      </c>
      <c r="D39" s="120">
        <v>77464</v>
      </c>
      <c r="E39" s="120">
        <v>75581</v>
      </c>
      <c r="F39" s="120">
        <v>75921</v>
      </c>
      <c r="G39" s="120">
        <v>75542</v>
      </c>
      <c r="H39" s="123">
        <v>74618</v>
      </c>
      <c r="I39" s="123">
        <v>74178</v>
      </c>
      <c r="J39" s="123">
        <v>73562</v>
      </c>
      <c r="K39" s="120">
        <v>72713</v>
      </c>
      <c r="L39" s="120">
        <v>71520</v>
      </c>
      <c r="M39" s="120">
        <v>69882</v>
      </c>
      <c r="N39" s="121">
        <f t="shared" si="2"/>
        <v>75121.333333333328</v>
      </c>
    </row>
    <row r="40" spans="1:14" x14ac:dyDescent="0.2">
      <c r="A40" s="119" t="s">
        <v>37</v>
      </c>
      <c r="B40" s="120">
        <v>14290</v>
      </c>
      <c r="C40" s="120">
        <v>14451</v>
      </c>
      <c r="D40" s="120">
        <v>14573</v>
      </c>
      <c r="E40" s="120">
        <v>14340</v>
      </c>
      <c r="F40" s="120">
        <v>14200</v>
      </c>
      <c r="G40" s="120">
        <v>13793</v>
      </c>
      <c r="H40" s="120">
        <v>13403</v>
      </c>
      <c r="I40" s="120">
        <v>13160</v>
      </c>
      <c r="J40" s="120">
        <v>12834</v>
      </c>
      <c r="K40" s="120">
        <v>12700</v>
      </c>
      <c r="L40" s="120">
        <v>12562</v>
      </c>
      <c r="M40" s="120">
        <v>12550</v>
      </c>
      <c r="N40" s="121">
        <f t="shared" si="2"/>
        <v>13571.333333333334</v>
      </c>
    </row>
    <row r="41" spans="1:14" x14ac:dyDescent="0.2">
      <c r="A41" s="119" t="s">
        <v>38</v>
      </c>
      <c r="B41" s="120">
        <v>1046</v>
      </c>
      <c r="C41" s="120">
        <v>1078</v>
      </c>
      <c r="D41" s="120">
        <v>1091</v>
      </c>
      <c r="E41" s="120">
        <v>1093</v>
      </c>
      <c r="F41" s="120">
        <v>1087</v>
      </c>
      <c r="G41" s="120">
        <v>1062</v>
      </c>
      <c r="H41" s="120">
        <v>1028</v>
      </c>
      <c r="I41" s="120">
        <v>1015</v>
      </c>
      <c r="J41" s="120">
        <v>1019</v>
      </c>
      <c r="K41" s="120">
        <v>1054</v>
      </c>
      <c r="L41" s="120">
        <v>1057</v>
      </c>
      <c r="M41" s="120">
        <v>1026</v>
      </c>
      <c r="N41" s="121">
        <f t="shared" si="2"/>
        <v>1054.6666666666667</v>
      </c>
    </row>
    <row r="42" spans="1:14" x14ac:dyDescent="0.2">
      <c r="A42" s="119" t="s">
        <v>39</v>
      </c>
      <c r="B42" s="120">
        <v>52407</v>
      </c>
      <c r="C42" s="120">
        <v>51566</v>
      </c>
      <c r="D42" s="120">
        <v>50944</v>
      </c>
      <c r="E42" s="120">
        <v>50324</v>
      </c>
      <c r="F42" s="120">
        <v>49791</v>
      </c>
      <c r="G42" s="120">
        <v>49211</v>
      </c>
      <c r="H42" s="120">
        <v>47907</v>
      </c>
      <c r="I42" s="120">
        <v>46409</v>
      </c>
      <c r="J42" s="120">
        <v>45609</v>
      </c>
      <c r="K42" s="120">
        <v>44861</v>
      </c>
      <c r="L42" s="120">
        <v>44242</v>
      </c>
      <c r="M42" s="120">
        <v>43396</v>
      </c>
      <c r="N42" s="121">
        <f t="shared" si="2"/>
        <v>48055.583333333336</v>
      </c>
    </row>
    <row r="43" spans="1:14" x14ac:dyDescent="0.2">
      <c r="A43" s="119" t="s">
        <v>40</v>
      </c>
      <c r="B43" s="120">
        <v>5699</v>
      </c>
      <c r="C43" s="120">
        <v>5592</v>
      </c>
      <c r="D43" s="120">
        <v>5581</v>
      </c>
      <c r="E43" s="120">
        <v>5486</v>
      </c>
      <c r="F43" s="120">
        <v>5411</v>
      </c>
      <c r="G43" s="120">
        <v>5288</v>
      </c>
      <c r="H43" s="120">
        <v>5080</v>
      </c>
      <c r="I43" s="120">
        <v>4734</v>
      </c>
      <c r="J43" s="120">
        <v>4538</v>
      </c>
      <c r="K43" s="120">
        <v>4161</v>
      </c>
      <c r="L43" s="120">
        <v>4029</v>
      </c>
      <c r="M43" s="120">
        <v>3972</v>
      </c>
      <c r="N43" s="121">
        <f t="shared" si="2"/>
        <v>4964.25</v>
      </c>
    </row>
    <row r="44" spans="1:14" x14ac:dyDescent="0.2">
      <c r="A44" s="119" t="s">
        <v>41</v>
      </c>
      <c r="B44" s="120">
        <v>13528</v>
      </c>
      <c r="C44" s="120">
        <v>13366</v>
      </c>
      <c r="D44" s="120">
        <v>14462</v>
      </c>
      <c r="E44" s="120">
        <v>14199</v>
      </c>
      <c r="F44" s="120">
        <v>14314</v>
      </c>
      <c r="G44" s="120">
        <v>15265</v>
      </c>
      <c r="H44" s="123">
        <v>14910</v>
      </c>
      <c r="I44" s="123">
        <v>14813</v>
      </c>
      <c r="J44" s="123">
        <v>14060</v>
      </c>
      <c r="K44" s="120">
        <v>14856</v>
      </c>
      <c r="L44" s="120">
        <v>14739</v>
      </c>
      <c r="M44" s="120">
        <v>14167</v>
      </c>
      <c r="N44" s="121">
        <f t="shared" si="2"/>
        <v>14389.916666666666</v>
      </c>
    </row>
    <row r="45" spans="1:14" x14ac:dyDescent="0.2">
      <c r="A45" s="119" t="s">
        <v>42</v>
      </c>
      <c r="B45" s="120">
        <v>31119</v>
      </c>
      <c r="C45" s="120">
        <v>29869</v>
      </c>
      <c r="D45" s="120">
        <v>29103</v>
      </c>
      <c r="E45" s="120">
        <v>28912</v>
      </c>
      <c r="F45" s="120">
        <v>28008</v>
      </c>
      <c r="G45" s="120">
        <v>27201</v>
      </c>
      <c r="H45" s="120">
        <v>26397</v>
      </c>
      <c r="I45" s="120">
        <v>25570</v>
      </c>
      <c r="J45" s="120">
        <v>25156</v>
      </c>
      <c r="K45" s="120">
        <v>24879</v>
      </c>
      <c r="L45" s="120">
        <v>24598</v>
      </c>
      <c r="M45" s="120">
        <v>25073</v>
      </c>
      <c r="N45" s="121">
        <f t="shared" si="2"/>
        <v>27157.083333333332</v>
      </c>
    </row>
    <row r="46" spans="1:14" x14ac:dyDescent="0.2">
      <c r="A46" s="119" t="s">
        <v>43</v>
      </c>
      <c r="B46" s="120">
        <v>4279</v>
      </c>
      <c r="C46" s="120">
        <v>4357</v>
      </c>
      <c r="D46" s="120">
        <v>4490</v>
      </c>
      <c r="E46" s="122">
        <v>4569</v>
      </c>
      <c r="F46" s="122">
        <v>4509</v>
      </c>
      <c r="G46" s="122">
        <v>4530</v>
      </c>
      <c r="H46" s="123">
        <v>4474</v>
      </c>
      <c r="I46" s="123">
        <v>4451</v>
      </c>
      <c r="J46" s="123">
        <v>4426</v>
      </c>
      <c r="K46" s="120">
        <v>4407</v>
      </c>
      <c r="L46" s="120">
        <v>4399</v>
      </c>
      <c r="M46" s="120">
        <v>4326</v>
      </c>
      <c r="N46" s="121">
        <f t="shared" si="2"/>
        <v>4434.75</v>
      </c>
    </row>
    <row r="47" spans="1:14" x14ac:dyDescent="0.2">
      <c r="A47" s="119" t="s">
        <v>44</v>
      </c>
      <c r="B47" s="120">
        <v>2639</v>
      </c>
      <c r="C47" s="120">
        <v>2578</v>
      </c>
      <c r="D47" s="120">
        <v>2549</v>
      </c>
      <c r="E47" s="120">
        <v>2472</v>
      </c>
      <c r="F47" s="120">
        <v>2386</v>
      </c>
      <c r="G47" s="120">
        <v>2269</v>
      </c>
      <c r="H47" s="120">
        <v>2182</v>
      </c>
      <c r="I47" s="120">
        <v>2116</v>
      </c>
      <c r="J47" s="120">
        <v>2100</v>
      </c>
      <c r="K47" s="120">
        <v>2065</v>
      </c>
      <c r="L47" s="120">
        <v>2037</v>
      </c>
      <c r="M47" s="120">
        <v>2267</v>
      </c>
      <c r="N47" s="121">
        <f t="shared" si="2"/>
        <v>2305</v>
      </c>
    </row>
    <row r="48" spans="1:14" x14ac:dyDescent="0.2">
      <c r="A48" s="119" t="s">
        <v>45</v>
      </c>
      <c r="B48" s="120">
        <v>8140</v>
      </c>
      <c r="C48" s="120">
        <v>8133</v>
      </c>
      <c r="D48" s="120">
        <v>7964</v>
      </c>
      <c r="E48" s="120">
        <v>7631</v>
      </c>
      <c r="F48" s="120">
        <v>7546</v>
      </c>
      <c r="G48" s="120">
        <v>7304</v>
      </c>
      <c r="H48" s="120">
        <v>6968</v>
      </c>
      <c r="I48" s="120">
        <v>6818</v>
      </c>
      <c r="J48" s="120">
        <v>6741</v>
      </c>
      <c r="K48" s="120">
        <v>6747</v>
      </c>
      <c r="L48" s="120">
        <v>6797</v>
      </c>
      <c r="M48" s="120">
        <v>6869</v>
      </c>
      <c r="N48" s="121">
        <f t="shared" si="2"/>
        <v>7304.833333333333</v>
      </c>
    </row>
    <row r="49" spans="1:14" x14ac:dyDescent="0.2">
      <c r="A49" s="119" t="s">
        <v>46</v>
      </c>
      <c r="B49" s="120">
        <v>2730</v>
      </c>
      <c r="C49" s="120">
        <v>2716</v>
      </c>
      <c r="D49" s="120">
        <v>2725</v>
      </c>
      <c r="E49" s="120">
        <v>2674</v>
      </c>
      <c r="F49" s="120">
        <v>2617</v>
      </c>
      <c r="G49" s="120">
        <v>2609</v>
      </c>
      <c r="H49" s="123">
        <v>2530</v>
      </c>
      <c r="I49" s="123">
        <v>2475</v>
      </c>
      <c r="J49" s="123">
        <v>2444</v>
      </c>
      <c r="K49" s="120">
        <v>2446</v>
      </c>
      <c r="L49" s="120">
        <v>2392</v>
      </c>
      <c r="M49" s="120">
        <v>2352</v>
      </c>
      <c r="N49" s="121">
        <f t="shared" si="2"/>
        <v>2559.1666666666665</v>
      </c>
    </row>
    <row r="50" spans="1:14" x14ac:dyDescent="0.2">
      <c r="A50" s="119" t="s">
        <v>47</v>
      </c>
      <c r="B50" s="120">
        <v>15568</v>
      </c>
      <c r="C50" s="120">
        <v>15578</v>
      </c>
      <c r="D50" s="120">
        <v>15244</v>
      </c>
      <c r="E50" s="120">
        <v>14912</v>
      </c>
      <c r="F50" s="120">
        <v>14705</v>
      </c>
      <c r="G50" s="120">
        <v>14386</v>
      </c>
      <c r="H50" s="120">
        <v>14014</v>
      </c>
      <c r="I50" s="120">
        <v>13674</v>
      </c>
      <c r="J50" s="120">
        <v>13197</v>
      </c>
      <c r="K50" s="120">
        <v>13170</v>
      </c>
      <c r="L50" s="120">
        <v>13414</v>
      </c>
      <c r="M50" s="120">
        <v>13402</v>
      </c>
      <c r="N50" s="121">
        <f t="shared" si="2"/>
        <v>14272</v>
      </c>
    </row>
    <row r="51" spans="1:14" x14ac:dyDescent="0.2">
      <c r="A51" s="119" t="s">
        <v>48</v>
      </c>
      <c r="B51" s="120">
        <v>18446</v>
      </c>
      <c r="C51" s="120">
        <v>21404</v>
      </c>
      <c r="D51" s="120">
        <v>19770</v>
      </c>
      <c r="E51" s="120">
        <v>19956</v>
      </c>
      <c r="F51" s="120">
        <v>20217</v>
      </c>
      <c r="G51" s="120">
        <v>18546</v>
      </c>
      <c r="H51" s="123">
        <v>17984</v>
      </c>
      <c r="I51" s="123">
        <v>17602</v>
      </c>
      <c r="J51" s="123">
        <v>17056</v>
      </c>
      <c r="K51" s="120">
        <v>16432</v>
      </c>
      <c r="L51" s="120">
        <v>16133</v>
      </c>
      <c r="M51" s="120">
        <v>14626</v>
      </c>
      <c r="N51" s="121">
        <f t="shared" si="2"/>
        <v>18181</v>
      </c>
    </row>
    <row r="52" spans="1:14" x14ac:dyDescent="0.2">
      <c r="A52" s="119" t="s">
        <v>49</v>
      </c>
      <c r="B52" s="120">
        <v>2597</v>
      </c>
      <c r="C52" s="120">
        <v>2560</v>
      </c>
      <c r="D52" s="120">
        <v>2567</v>
      </c>
      <c r="E52" s="120">
        <v>2510</v>
      </c>
      <c r="F52" s="120">
        <v>2476</v>
      </c>
      <c r="G52" s="120">
        <v>2457</v>
      </c>
      <c r="H52" s="122">
        <v>2358</v>
      </c>
      <c r="I52" s="122">
        <v>2273</v>
      </c>
      <c r="J52" s="122">
        <v>2236</v>
      </c>
      <c r="K52" s="120">
        <v>2177</v>
      </c>
      <c r="L52" s="120">
        <v>2158</v>
      </c>
      <c r="M52" s="120">
        <v>2124</v>
      </c>
      <c r="N52" s="121">
        <f t="shared" si="2"/>
        <v>2374.4166666666665</v>
      </c>
    </row>
    <row r="53" spans="1:14" x14ac:dyDescent="0.2">
      <c r="A53" s="119" t="s">
        <v>50</v>
      </c>
      <c r="B53" s="120">
        <v>1816</v>
      </c>
      <c r="C53" s="120">
        <v>1803</v>
      </c>
      <c r="D53" s="120">
        <v>1747</v>
      </c>
      <c r="E53" s="120">
        <v>1757</v>
      </c>
      <c r="F53" s="120">
        <v>1729</v>
      </c>
      <c r="G53" s="120">
        <v>1674</v>
      </c>
      <c r="H53" s="123">
        <v>1611</v>
      </c>
      <c r="I53" s="123">
        <v>1585</v>
      </c>
      <c r="J53" s="123">
        <v>1575</v>
      </c>
      <c r="K53" s="120">
        <v>1641</v>
      </c>
      <c r="L53" s="120">
        <v>1614</v>
      </c>
      <c r="M53" s="120">
        <v>1698</v>
      </c>
      <c r="N53" s="121">
        <f t="shared" si="2"/>
        <v>1687.5</v>
      </c>
    </row>
    <row r="54" spans="1:14" x14ac:dyDescent="0.2">
      <c r="A54" s="119" t="s">
        <v>51</v>
      </c>
      <c r="B54" s="120">
        <v>70</v>
      </c>
      <c r="C54" s="120">
        <v>69</v>
      </c>
      <c r="D54" s="120">
        <v>67</v>
      </c>
      <c r="E54" s="120">
        <v>73</v>
      </c>
      <c r="F54" s="120">
        <v>79</v>
      </c>
      <c r="G54" s="120">
        <v>77</v>
      </c>
      <c r="H54" s="123">
        <v>76</v>
      </c>
      <c r="I54" s="123">
        <v>75</v>
      </c>
      <c r="J54" s="123">
        <v>77</v>
      </c>
      <c r="K54" s="120">
        <v>72</v>
      </c>
      <c r="L54" s="120">
        <v>71</v>
      </c>
      <c r="M54" s="120">
        <v>74</v>
      </c>
      <c r="N54" s="121">
        <f t="shared" si="2"/>
        <v>73.333333333333329</v>
      </c>
    </row>
    <row r="55" spans="1:14" x14ac:dyDescent="0.2">
      <c r="A55" s="119" t="s">
        <v>52</v>
      </c>
      <c r="B55" s="120">
        <v>15444</v>
      </c>
      <c r="C55" s="120">
        <v>15171</v>
      </c>
      <c r="D55" s="120">
        <v>15247</v>
      </c>
      <c r="E55" s="120">
        <v>15019</v>
      </c>
      <c r="F55" s="120">
        <v>15169</v>
      </c>
      <c r="G55" s="120">
        <v>15117</v>
      </c>
      <c r="H55" s="123">
        <v>14851</v>
      </c>
      <c r="I55" s="123">
        <v>14818</v>
      </c>
      <c r="J55" s="123">
        <v>14879</v>
      </c>
      <c r="K55" s="120">
        <v>17518</v>
      </c>
      <c r="L55" s="120">
        <v>17449</v>
      </c>
      <c r="M55" s="120">
        <v>17478</v>
      </c>
      <c r="N55" s="121">
        <f t="shared" si="2"/>
        <v>15680</v>
      </c>
    </row>
    <row r="56" spans="1:14" x14ac:dyDescent="0.2">
      <c r="A56" s="119" t="s">
        <v>53</v>
      </c>
      <c r="B56" s="120">
        <v>29262</v>
      </c>
      <c r="C56" s="120">
        <v>29033</v>
      </c>
      <c r="D56" s="120">
        <v>29711</v>
      </c>
      <c r="E56" s="120">
        <v>29911</v>
      </c>
      <c r="F56" s="120">
        <v>29562</v>
      </c>
      <c r="G56" s="120">
        <v>28976</v>
      </c>
      <c r="H56" s="120">
        <v>28070</v>
      </c>
      <c r="I56" s="120">
        <v>27555</v>
      </c>
      <c r="J56" s="120">
        <v>27126</v>
      </c>
      <c r="K56" s="120">
        <v>26584</v>
      </c>
      <c r="L56" s="120">
        <v>26053</v>
      </c>
      <c r="M56" s="120">
        <v>25955</v>
      </c>
      <c r="N56" s="121">
        <f t="shared" si="2"/>
        <v>28149.833333333332</v>
      </c>
    </row>
    <row r="57" spans="1:14" x14ac:dyDescent="0.2">
      <c r="A57" s="119" t="s">
        <v>54</v>
      </c>
      <c r="B57" s="120">
        <v>5712</v>
      </c>
      <c r="C57" s="120">
        <v>5703</v>
      </c>
      <c r="D57" s="120">
        <v>5663</v>
      </c>
      <c r="E57" s="120">
        <v>5580</v>
      </c>
      <c r="F57" s="120">
        <v>5593</v>
      </c>
      <c r="G57" s="120">
        <v>5668</v>
      </c>
      <c r="H57" s="123">
        <v>5633</v>
      </c>
      <c r="I57" s="123">
        <v>5630</v>
      </c>
      <c r="J57" s="123">
        <v>5600</v>
      </c>
      <c r="K57" s="120">
        <v>5606</v>
      </c>
      <c r="L57" s="120">
        <v>5604</v>
      </c>
      <c r="M57" s="120">
        <v>5550</v>
      </c>
      <c r="N57" s="121">
        <f t="shared" si="2"/>
        <v>5628.5</v>
      </c>
    </row>
    <row r="58" spans="1:14" x14ac:dyDescent="0.2">
      <c r="A58" s="119" t="s">
        <v>55</v>
      </c>
      <c r="B58" s="120">
        <v>15812</v>
      </c>
      <c r="C58" s="120">
        <v>15810</v>
      </c>
      <c r="D58" s="120">
        <v>15822</v>
      </c>
      <c r="E58" s="120">
        <v>15803</v>
      </c>
      <c r="F58" s="120">
        <v>15762</v>
      </c>
      <c r="G58" s="120">
        <v>15467</v>
      </c>
      <c r="H58" s="120">
        <v>14951</v>
      </c>
      <c r="I58" s="120">
        <v>14711</v>
      </c>
      <c r="J58" s="120">
        <v>14415</v>
      </c>
      <c r="K58" s="120">
        <v>14011</v>
      </c>
      <c r="L58" s="120">
        <v>13853</v>
      </c>
      <c r="M58" s="120">
        <v>13474</v>
      </c>
      <c r="N58" s="121">
        <f t="shared" si="2"/>
        <v>14990.916666666666</v>
      </c>
    </row>
    <row r="59" spans="1:14" x14ac:dyDescent="0.2">
      <c r="A59" s="124" t="s">
        <v>56</v>
      </c>
      <c r="B59" s="125">
        <v>503</v>
      </c>
      <c r="C59" s="125">
        <v>487</v>
      </c>
      <c r="D59" s="125">
        <v>506</v>
      </c>
      <c r="E59" s="125">
        <v>504</v>
      </c>
      <c r="F59" s="125">
        <v>502</v>
      </c>
      <c r="G59" s="125">
        <v>497</v>
      </c>
      <c r="H59" s="126">
        <v>478</v>
      </c>
      <c r="I59" s="126">
        <v>459</v>
      </c>
      <c r="J59" s="126">
        <v>458</v>
      </c>
      <c r="K59" s="125">
        <v>441</v>
      </c>
      <c r="L59" s="125">
        <v>448</v>
      </c>
      <c r="M59" s="125">
        <v>450</v>
      </c>
      <c r="N59" s="127">
        <f t="shared" si="2"/>
        <v>477.75</v>
      </c>
    </row>
    <row r="60" spans="1:14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1:14" x14ac:dyDescent="0.2">
      <c r="A61" s="36" t="s">
        <v>58</v>
      </c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</row>
    <row r="62" spans="1:14" x14ac:dyDescent="0.2">
      <c r="A62" s="36" t="s">
        <v>80</v>
      </c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</row>
    <row r="63" spans="1:14" x14ac:dyDescent="0.2">
      <c r="A63" s="7"/>
    </row>
  </sheetData>
  <pageMargins left="0.7" right="0.7" top="0.75" bottom="0.75" header="0.3" footer="0.3"/>
  <pageSetup scale="78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3B5F-28D2-4C27-81EC-1825EB933E4F}">
  <sheetPr>
    <pageSetUpPr fitToPage="1"/>
  </sheetPr>
  <dimension ref="B1:Q126"/>
  <sheetViews>
    <sheetView zoomScaleNormal="100" workbookViewId="0">
      <selection activeCell="B5" sqref="B5"/>
    </sheetView>
  </sheetViews>
  <sheetFormatPr defaultColWidth="9.1796875" defaultRowHeight="10" x14ac:dyDescent="0.2"/>
  <cols>
    <col min="1" max="1" width="9.1796875" style="65"/>
    <col min="2" max="2" width="14.1796875" style="76" bestFit="1" customWidth="1"/>
    <col min="3" max="3" width="19.453125" style="65" customWidth="1"/>
    <col min="4" max="4" width="20.36328125" style="65" customWidth="1"/>
    <col min="5" max="5" width="19.54296875" style="65" customWidth="1"/>
    <col min="6" max="6" width="2.6328125" style="61" customWidth="1"/>
    <col min="7" max="16384" width="9.1796875" style="65"/>
  </cols>
  <sheetData>
    <row r="1" spans="2:11" ht="15" customHeight="1" x14ac:dyDescent="0.35">
      <c r="B1" s="80" t="s">
        <v>79</v>
      </c>
      <c r="C1" s="81"/>
      <c r="D1" s="81"/>
      <c r="E1" s="81"/>
      <c r="F1" s="58"/>
    </row>
    <row r="2" spans="2:11" ht="15" customHeight="1" x14ac:dyDescent="0.25">
      <c r="B2" s="82" t="s">
        <v>65</v>
      </c>
      <c r="C2" s="82"/>
      <c r="D2" s="82"/>
      <c r="E2" s="82"/>
      <c r="F2" s="64"/>
    </row>
    <row r="3" spans="2:11" ht="15" customHeight="1" x14ac:dyDescent="0.25">
      <c r="B3" s="83" t="s">
        <v>104</v>
      </c>
      <c r="C3" s="83"/>
      <c r="D3" s="83"/>
      <c r="E3" s="83"/>
      <c r="F3" s="64"/>
    </row>
    <row r="4" spans="2:11" s="86" customFormat="1" ht="15" customHeight="1" x14ac:dyDescent="0.2">
      <c r="B4" s="96"/>
      <c r="C4" s="97"/>
      <c r="D4" s="97"/>
      <c r="E4" s="97"/>
      <c r="F4" s="84"/>
      <c r="G4" s="85"/>
      <c r="H4" s="85"/>
    </row>
    <row r="5" spans="2:11" ht="20" x14ac:dyDescent="0.2">
      <c r="B5" s="138" t="s">
        <v>1</v>
      </c>
      <c r="C5" s="129" t="s">
        <v>73</v>
      </c>
      <c r="D5" s="129" t="s">
        <v>71</v>
      </c>
      <c r="E5" s="130" t="s">
        <v>72</v>
      </c>
      <c r="F5" s="66"/>
      <c r="G5" s="67"/>
      <c r="H5" s="67"/>
      <c r="I5" s="67"/>
      <c r="J5" s="67"/>
      <c r="K5" s="67"/>
    </row>
    <row r="6" spans="2:11" s="68" customFormat="1" ht="10.5" x14ac:dyDescent="0.25">
      <c r="B6" s="116" t="s">
        <v>2</v>
      </c>
      <c r="C6" s="95">
        <f>'Total Number of Recipients'!N5</f>
        <v>1847643.75</v>
      </c>
      <c r="D6" s="95">
        <f>'Total-Adult Recipients'!N5</f>
        <v>422884.83333333331</v>
      </c>
      <c r="E6" s="69">
        <f>'Total-Child Recipients'!N5</f>
        <v>1424758.9166666667</v>
      </c>
      <c r="F6" s="53"/>
      <c r="G6" s="87"/>
      <c r="H6" s="87"/>
      <c r="I6" s="70"/>
      <c r="J6" s="70"/>
      <c r="K6" s="70"/>
    </row>
    <row r="7" spans="2:11" s="71" customFormat="1" x14ac:dyDescent="0.2">
      <c r="B7" s="135" t="s">
        <v>3</v>
      </c>
      <c r="C7" s="131">
        <f>'Total Number of Recipients'!N6</f>
        <v>14108.416666666666</v>
      </c>
      <c r="D7" s="131">
        <f>'Total-Adult Recipients'!N6</f>
        <v>2362.0833333333335</v>
      </c>
      <c r="E7" s="132">
        <f>'Total-Child Recipients'!N6</f>
        <v>11746.333333333334</v>
      </c>
      <c r="F7" s="54"/>
      <c r="G7" s="72"/>
      <c r="H7" s="72"/>
      <c r="I7" s="72"/>
      <c r="J7" s="72"/>
      <c r="K7" s="72"/>
    </row>
    <row r="8" spans="2:11" s="71" customFormat="1" x14ac:dyDescent="0.2">
      <c r="B8" s="135" t="s">
        <v>4</v>
      </c>
      <c r="C8" s="131">
        <f>'Total Number of Recipients'!N7</f>
        <v>4727.333333333333</v>
      </c>
      <c r="D8" s="131">
        <f>'Total-Adult Recipients'!N7</f>
        <v>1446</v>
      </c>
      <c r="E8" s="132">
        <f>'Total-Child Recipients'!N7</f>
        <v>3281.3333333333335</v>
      </c>
      <c r="F8" s="54"/>
      <c r="G8" s="72"/>
      <c r="H8" s="72"/>
      <c r="I8" s="72"/>
      <c r="J8" s="72"/>
      <c r="K8" s="72"/>
    </row>
    <row r="9" spans="2:11" s="71" customFormat="1" x14ac:dyDescent="0.2">
      <c r="B9" s="135" t="s">
        <v>5</v>
      </c>
      <c r="C9" s="131">
        <f>'Total Number of Recipients'!N8</f>
        <v>14550.083333333334</v>
      </c>
      <c r="D9" s="131">
        <f>'Total-Adult Recipients'!N8</f>
        <v>2514.4166666666665</v>
      </c>
      <c r="E9" s="132">
        <f>'Total-Child Recipients'!N8</f>
        <v>12035.666666666666</v>
      </c>
      <c r="F9" s="54"/>
      <c r="G9" s="72"/>
      <c r="H9" s="72"/>
      <c r="I9" s="72"/>
      <c r="J9" s="72"/>
      <c r="K9" s="72"/>
    </row>
    <row r="10" spans="2:11" s="71" customFormat="1" x14ac:dyDescent="0.2">
      <c r="B10" s="135" t="s">
        <v>6</v>
      </c>
      <c r="C10" s="131">
        <f>'Total Number of Recipients'!N9</f>
        <v>3717.1666666666665</v>
      </c>
      <c r="D10" s="131">
        <f>'Total-Adult Recipients'!N9</f>
        <v>846.5</v>
      </c>
      <c r="E10" s="132">
        <f>'Total-Child Recipients'!N9</f>
        <v>2870.6666666666665</v>
      </c>
      <c r="F10" s="54"/>
      <c r="G10" s="72"/>
      <c r="H10" s="72"/>
      <c r="I10" s="72"/>
      <c r="J10" s="72"/>
      <c r="K10" s="72"/>
    </row>
    <row r="11" spans="2:11" s="71" customFormat="1" x14ac:dyDescent="0.2">
      <c r="B11" s="135" t="s">
        <v>7</v>
      </c>
      <c r="C11" s="131">
        <f>'Total Number of Recipients'!N10</f>
        <v>606783</v>
      </c>
      <c r="D11" s="131">
        <f>'Total-Adult Recipients'!N10</f>
        <v>145371.66666666666</v>
      </c>
      <c r="E11" s="132">
        <f>'Total-Child Recipients'!N10</f>
        <v>461411.33333333331</v>
      </c>
      <c r="F11" s="54"/>
      <c r="G11" s="72"/>
      <c r="H11" s="72"/>
      <c r="I11" s="72"/>
      <c r="J11" s="72"/>
      <c r="K11" s="72"/>
    </row>
    <row r="12" spans="2:11" s="71" customFormat="1" x14ac:dyDescent="0.2">
      <c r="B12" s="135" t="s">
        <v>8</v>
      </c>
      <c r="C12" s="131">
        <f>'Total Number of Recipients'!N11</f>
        <v>28059.416666666668</v>
      </c>
      <c r="D12" s="131">
        <f>'Total-Adult Recipients'!N11</f>
        <v>7087.583333333333</v>
      </c>
      <c r="E12" s="132">
        <f>'Total-Child Recipients'!N11</f>
        <v>20971.833333333332</v>
      </c>
      <c r="F12" s="54"/>
      <c r="G12" s="72"/>
      <c r="H12" s="72"/>
      <c r="I12" s="72"/>
      <c r="J12" s="72"/>
      <c r="K12" s="72"/>
    </row>
    <row r="13" spans="2:11" s="71" customFormat="1" x14ac:dyDescent="0.2">
      <c r="B13" s="135" t="s">
        <v>9</v>
      </c>
      <c r="C13" s="131">
        <f>'Total Number of Recipients'!N12</f>
        <v>12055.333333333334</v>
      </c>
      <c r="D13" s="131">
        <f>'Total-Adult Recipients'!N12</f>
        <v>3147.8333333333335</v>
      </c>
      <c r="E13" s="132">
        <f>'Total-Child Recipients'!N12</f>
        <v>8907.5</v>
      </c>
      <c r="F13" s="54"/>
      <c r="G13" s="72"/>
      <c r="H13" s="72"/>
      <c r="I13" s="72"/>
      <c r="J13" s="72"/>
      <c r="K13" s="72"/>
    </row>
    <row r="14" spans="2:11" s="71" customFormat="1" x14ac:dyDescent="0.2">
      <c r="B14" s="135" t="s">
        <v>10</v>
      </c>
      <c r="C14" s="131">
        <f>'Total Number of Recipients'!N13</f>
        <v>7383.166666666667</v>
      </c>
      <c r="D14" s="131">
        <f>'Total-Adult Recipients'!N13</f>
        <v>3040</v>
      </c>
      <c r="E14" s="132">
        <f>'Total-Child Recipients'!N13</f>
        <v>4343.166666666667</v>
      </c>
      <c r="F14" s="54"/>
      <c r="G14" s="72"/>
      <c r="H14" s="72"/>
      <c r="I14" s="72"/>
      <c r="J14" s="72"/>
      <c r="K14" s="72"/>
    </row>
    <row r="15" spans="2:11" s="71" customFormat="1" x14ac:dyDescent="0.2">
      <c r="B15" s="135" t="s">
        <v>11</v>
      </c>
      <c r="C15" s="131">
        <f>'Total Number of Recipients'!N14</f>
        <v>19125.5</v>
      </c>
      <c r="D15" s="131">
        <f>'Total-Adult Recipients'!N14</f>
        <v>4583.583333333333</v>
      </c>
      <c r="E15" s="132">
        <f>'Total-Child Recipients'!N14</f>
        <v>14541.916666666666</v>
      </c>
      <c r="F15" s="54"/>
      <c r="G15" s="72"/>
      <c r="H15" s="72"/>
      <c r="I15" s="72"/>
      <c r="J15" s="72"/>
      <c r="K15" s="72"/>
    </row>
    <row r="16" spans="2:11" s="71" customFormat="1" x14ac:dyDescent="0.2">
      <c r="B16" s="135" t="s">
        <v>12</v>
      </c>
      <c r="C16" s="131">
        <f>'Total Number of Recipients'!N15</f>
        <v>67901.833333333328</v>
      </c>
      <c r="D16" s="131">
        <f>'Total-Adult Recipients'!N15</f>
        <v>14115.583333333334</v>
      </c>
      <c r="E16" s="132">
        <f>'Total-Child Recipients'!N15</f>
        <v>53786.25</v>
      </c>
      <c r="F16" s="54"/>
      <c r="G16" s="72"/>
      <c r="H16" s="72"/>
      <c r="I16" s="72"/>
      <c r="J16" s="72"/>
      <c r="K16" s="72"/>
    </row>
    <row r="17" spans="2:11" s="71" customFormat="1" x14ac:dyDescent="0.2">
      <c r="B17" s="135" t="s">
        <v>13</v>
      </c>
      <c r="C17" s="131">
        <f>'Total Number of Recipients'!N16</f>
        <v>14632.833333333334</v>
      </c>
      <c r="D17" s="131">
        <f>'Total-Adult Recipients'!N16</f>
        <v>1394.0833333333333</v>
      </c>
      <c r="E17" s="132">
        <f>'Total-Child Recipients'!N16</f>
        <v>13238.75</v>
      </c>
      <c r="F17" s="54"/>
      <c r="G17" s="72"/>
      <c r="H17" s="72"/>
      <c r="I17" s="72"/>
      <c r="J17" s="72"/>
      <c r="K17" s="72"/>
    </row>
    <row r="18" spans="2:11" s="71" customFormat="1" x14ac:dyDescent="0.2">
      <c r="B18" s="135" t="s">
        <v>14</v>
      </c>
      <c r="C18" s="131">
        <f>'Total Number of Recipients'!N17</f>
        <v>961.66666666666663</v>
      </c>
      <c r="D18" s="131">
        <f>'Total-Adult Recipients'!N17</f>
        <v>220.58333333333334</v>
      </c>
      <c r="E18" s="132">
        <f>'Total-Child Recipients'!N17</f>
        <v>741.08333333333337</v>
      </c>
      <c r="F18" s="54"/>
      <c r="G18" s="72"/>
      <c r="H18" s="72"/>
      <c r="I18" s="72"/>
      <c r="J18" s="72"/>
      <c r="K18" s="72"/>
    </row>
    <row r="19" spans="2:11" s="71" customFormat="1" x14ac:dyDescent="0.2">
      <c r="B19" s="135" t="s">
        <v>15</v>
      </c>
      <c r="C19" s="131">
        <f>'Total Number of Recipients'!N18</f>
        <v>20301.583333333332</v>
      </c>
      <c r="D19" s="131">
        <f>'Total-Adult Recipients'!N18</f>
        <v>7302.916666666667</v>
      </c>
      <c r="E19" s="132">
        <f>'Total-Child Recipients'!N18</f>
        <v>12998.666666666666</v>
      </c>
      <c r="F19" s="54"/>
      <c r="G19" s="72"/>
      <c r="H19" s="72"/>
      <c r="I19" s="72"/>
      <c r="J19" s="72"/>
      <c r="K19" s="72"/>
    </row>
    <row r="20" spans="2:11" s="71" customFormat="1" x14ac:dyDescent="0.2">
      <c r="B20" s="135" t="s">
        <v>16</v>
      </c>
      <c r="C20" s="131">
        <f>'Total Number of Recipients'!N19</f>
        <v>2364</v>
      </c>
      <c r="D20" s="131">
        <f>'Total-Adult Recipients'!N19</f>
        <v>29.75</v>
      </c>
      <c r="E20" s="132">
        <f>'Total-Child Recipients'!N19</f>
        <v>2334.25</v>
      </c>
      <c r="F20" s="54"/>
      <c r="G20" s="72"/>
      <c r="H20" s="72"/>
      <c r="I20" s="72"/>
      <c r="J20" s="72"/>
      <c r="K20" s="72"/>
    </row>
    <row r="21" spans="2:11" s="71" customFormat="1" x14ac:dyDescent="0.2">
      <c r="B21" s="135" t="s">
        <v>17</v>
      </c>
      <c r="C21" s="131">
        <f>'Total Number of Recipients'!N20</f>
        <v>20714.75</v>
      </c>
      <c r="D21" s="131">
        <f>'Total-Adult Recipients'!N20</f>
        <v>2192.0833333333335</v>
      </c>
      <c r="E21" s="132">
        <f>'Total-Child Recipients'!N20</f>
        <v>18522.666666666668</v>
      </c>
      <c r="F21" s="54"/>
      <c r="G21" s="72"/>
      <c r="H21" s="72"/>
      <c r="I21" s="72"/>
      <c r="J21" s="72"/>
      <c r="K21" s="72"/>
    </row>
    <row r="22" spans="2:11" s="71" customFormat="1" x14ac:dyDescent="0.2">
      <c r="B22" s="135" t="s">
        <v>18</v>
      </c>
      <c r="C22" s="131">
        <f>'Total Number of Recipients'!N21</f>
        <v>17862.25</v>
      </c>
      <c r="D22" s="131">
        <f>'Total-Adult Recipients'!N21</f>
        <v>3893.1666666666665</v>
      </c>
      <c r="E22" s="132">
        <f>'Total-Child Recipients'!N21</f>
        <v>13969.083333333334</v>
      </c>
      <c r="F22" s="54"/>
      <c r="G22" s="72"/>
      <c r="H22" s="72"/>
      <c r="I22" s="72"/>
      <c r="J22" s="72"/>
      <c r="K22" s="72"/>
    </row>
    <row r="23" spans="2:11" s="71" customFormat="1" x14ac:dyDescent="0.2">
      <c r="B23" s="135" t="s">
        <v>19</v>
      </c>
      <c r="C23" s="131">
        <f>'Total Number of Recipients'!N22</f>
        <v>14860.333333333334</v>
      </c>
      <c r="D23" s="131">
        <f>'Total-Adult Recipients'!N22</f>
        <v>3494.75</v>
      </c>
      <c r="E23" s="132">
        <f>'Total-Child Recipients'!N22</f>
        <v>11365.583333333334</v>
      </c>
      <c r="F23" s="54"/>
      <c r="G23" s="72"/>
      <c r="H23" s="72"/>
      <c r="I23" s="72"/>
      <c r="J23" s="72"/>
      <c r="K23" s="72"/>
    </row>
    <row r="24" spans="2:11" s="71" customFormat="1" x14ac:dyDescent="0.2">
      <c r="B24" s="135" t="s">
        <v>20</v>
      </c>
      <c r="C24" s="131">
        <f>'Total Number of Recipients'!N23</f>
        <v>3146</v>
      </c>
      <c r="D24" s="131">
        <f>'Total-Adult Recipients'!N23</f>
        <v>1396.9166666666667</v>
      </c>
      <c r="E24" s="132">
        <f>'Total-Child Recipients'!N23</f>
        <v>1749.0833333333333</v>
      </c>
      <c r="F24" s="54"/>
      <c r="G24" s="72"/>
      <c r="H24" s="72"/>
      <c r="I24" s="72"/>
      <c r="J24" s="72"/>
      <c r="K24" s="72"/>
    </row>
    <row r="25" spans="2:11" s="71" customFormat="1" x14ac:dyDescent="0.2">
      <c r="B25" s="135" t="s">
        <v>21</v>
      </c>
      <c r="C25" s="131">
        <f>'Total Number of Recipients'!N24</f>
        <v>26643</v>
      </c>
      <c r="D25" s="131">
        <f>'Total-Adult Recipients'!N24</f>
        <v>3911.5833333333335</v>
      </c>
      <c r="E25" s="132">
        <f>'Total-Child Recipients'!N24</f>
        <v>22731.416666666668</v>
      </c>
      <c r="F25" s="54"/>
      <c r="G25" s="72"/>
      <c r="H25" s="72"/>
      <c r="I25" s="72"/>
      <c r="J25" s="72"/>
      <c r="K25" s="72"/>
    </row>
    <row r="26" spans="2:11" s="71" customFormat="1" x14ac:dyDescent="0.2">
      <c r="B26" s="135" t="s">
        <v>22</v>
      </c>
      <c r="C26" s="131">
        <f>'Total Number of Recipients'!N25</f>
        <v>7822.25</v>
      </c>
      <c r="D26" s="131">
        <f>'Total-Adult Recipients'!N25</f>
        <v>1163.4166666666667</v>
      </c>
      <c r="E26" s="132">
        <f>'Total-Child Recipients'!N25</f>
        <v>6658.833333333333</v>
      </c>
      <c r="F26" s="54"/>
      <c r="G26" s="72"/>
      <c r="H26" s="72"/>
      <c r="I26" s="72"/>
      <c r="J26" s="72"/>
      <c r="K26" s="72"/>
    </row>
    <row r="27" spans="2:11" s="71" customFormat="1" x14ac:dyDescent="0.2">
      <c r="B27" s="135" t="s">
        <v>23</v>
      </c>
      <c r="C27" s="131">
        <f>'Total Number of Recipients'!N26</f>
        <v>7895.416666666667</v>
      </c>
      <c r="D27" s="131">
        <f>'Total-Adult Recipients'!N26</f>
        <v>2269.75</v>
      </c>
      <c r="E27" s="132">
        <f>'Total-Child Recipients'!N26</f>
        <v>5625.666666666667</v>
      </c>
      <c r="F27" s="54"/>
      <c r="G27" s="72"/>
      <c r="H27" s="72"/>
      <c r="I27" s="72"/>
      <c r="J27" s="72"/>
      <c r="K27" s="72"/>
    </row>
    <row r="28" spans="2:11" s="71" customFormat="1" x14ac:dyDescent="0.2">
      <c r="B28" s="135" t="s">
        <v>24</v>
      </c>
      <c r="C28" s="131">
        <f>'Total Number of Recipients'!N27</f>
        <v>55921.833333333336</v>
      </c>
      <c r="D28" s="131">
        <f>'Total-Adult Recipients'!N27</f>
        <v>16255.333333333334</v>
      </c>
      <c r="E28" s="132">
        <f>'Total-Child Recipients'!N27</f>
        <v>39666.5</v>
      </c>
      <c r="F28" s="54"/>
      <c r="G28" s="72"/>
      <c r="H28" s="72"/>
      <c r="I28" s="72"/>
      <c r="J28" s="72"/>
      <c r="K28" s="72"/>
    </row>
    <row r="29" spans="2:11" s="71" customFormat="1" x14ac:dyDescent="0.2">
      <c r="B29" s="135" t="s">
        <v>25</v>
      </c>
      <c r="C29" s="131">
        <f>'Total Number of Recipients'!N28</f>
        <v>56840.75</v>
      </c>
      <c r="D29" s="131">
        <f>'Total-Adult Recipients'!N28</f>
        <v>15217.166666666666</v>
      </c>
      <c r="E29" s="132">
        <f>'Total-Child Recipients'!N28</f>
        <v>41623.583333333336</v>
      </c>
      <c r="F29" s="54"/>
      <c r="G29" s="72"/>
      <c r="H29" s="72"/>
      <c r="I29" s="72"/>
      <c r="J29" s="72"/>
      <c r="K29" s="72"/>
    </row>
    <row r="30" spans="2:11" s="71" customFormat="1" x14ac:dyDescent="0.2">
      <c r="B30" s="135" t="s">
        <v>26</v>
      </c>
      <c r="C30" s="131">
        <f>'Total Number of Recipients'!N29</f>
        <v>23112.083333333332</v>
      </c>
      <c r="D30" s="131">
        <f>'Total-Adult Recipients'!N29</f>
        <v>4403.75</v>
      </c>
      <c r="E30" s="132">
        <f>'Total-Child Recipients'!N29</f>
        <v>18708.333333333332</v>
      </c>
      <c r="F30" s="54"/>
      <c r="G30" s="72"/>
      <c r="H30" s="72"/>
      <c r="I30" s="72"/>
      <c r="J30" s="72"/>
      <c r="K30" s="72"/>
    </row>
    <row r="31" spans="2:11" s="71" customFormat="1" x14ac:dyDescent="0.2">
      <c r="B31" s="135" t="s">
        <v>27</v>
      </c>
      <c r="C31" s="131">
        <f>'Total Number of Recipients'!N30</f>
        <v>46151.416666666664</v>
      </c>
      <c r="D31" s="131">
        <f>'Total-Adult Recipients'!N30</f>
        <v>12169.833333333334</v>
      </c>
      <c r="E31" s="132">
        <f>'Total-Child Recipients'!N30</f>
        <v>33981.583333333336</v>
      </c>
      <c r="F31" s="54"/>
      <c r="G31" s="72"/>
      <c r="H31" s="72"/>
      <c r="I31" s="72"/>
      <c r="J31" s="72"/>
      <c r="K31" s="72"/>
    </row>
    <row r="32" spans="2:11" s="71" customFormat="1" x14ac:dyDescent="0.2">
      <c r="B32" s="135" t="s">
        <v>28</v>
      </c>
      <c r="C32" s="131">
        <f>'Total Number of Recipients'!N31</f>
        <v>2880.25</v>
      </c>
      <c r="D32" s="131">
        <f>'Total-Adult Recipients'!N31</f>
        <v>222.33333333333334</v>
      </c>
      <c r="E32" s="132">
        <f>'Total-Child Recipients'!N31</f>
        <v>2657.9166666666665</v>
      </c>
      <c r="F32" s="54"/>
      <c r="G32" s="72"/>
      <c r="H32" s="72"/>
      <c r="I32" s="72"/>
      <c r="J32" s="72"/>
      <c r="K32" s="72"/>
    </row>
    <row r="33" spans="2:11" s="71" customFormat="1" x14ac:dyDescent="0.2">
      <c r="B33" s="135" t="s">
        <v>29</v>
      </c>
      <c r="C33" s="131">
        <f>'Total Number of Recipients'!N32</f>
        <v>15333.083333333334</v>
      </c>
      <c r="D33" s="131">
        <f>'Total-Adult Recipients'!N32</f>
        <v>3197.6666666666665</v>
      </c>
      <c r="E33" s="132">
        <f>'Total-Child Recipients'!N32</f>
        <v>12135.416666666666</v>
      </c>
      <c r="F33" s="54"/>
      <c r="G33" s="72"/>
      <c r="H33" s="72"/>
      <c r="I33" s="72"/>
      <c r="J33" s="72"/>
      <c r="K33" s="72"/>
    </row>
    <row r="34" spans="2:11" s="71" customFormat="1" x14ac:dyDescent="0.2">
      <c r="B34" s="135" t="s">
        <v>30</v>
      </c>
      <c r="C34" s="131">
        <f>'Total Number of Recipients'!N33</f>
        <v>4943.583333333333</v>
      </c>
      <c r="D34" s="131">
        <f>'Total-Adult Recipients'!N33</f>
        <v>908.08333333333337</v>
      </c>
      <c r="E34" s="132">
        <f>'Total-Child Recipients'!N33</f>
        <v>4035.5</v>
      </c>
      <c r="F34" s="54"/>
      <c r="G34" s="72"/>
      <c r="H34" s="72"/>
      <c r="I34" s="72"/>
      <c r="J34" s="72"/>
      <c r="K34" s="72"/>
    </row>
    <row r="35" spans="2:11" s="71" customFormat="1" x14ac:dyDescent="0.2">
      <c r="B35" s="135" t="s">
        <v>31</v>
      </c>
      <c r="C35" s="131">
        <f>'Total Number of Recipients'!N34</f>
        <v>8002.916666666667</v>
      </c>
      <c r="D35" s="131">
        <f>'Total-Adult Recipients'!N34</f>
        <v>1025.5</v>
      </c>
      <c r="E35" s="132">
        <f>'Total-Child Recipients'!N34</f>
        <v>6977.416666666667</v>
      </c>
      <c r="F35" s="54"/>
      <c r="G35" s="72"/>
      <c r="H35" s="72"/>
      <c r="I35" s="72"/>
      <c r="J35" s="72"/>
      <c r="K35" s="72"/>
    </row>
    <row r="36" spans="2:11" s="71" customFormat="1" x14ac:dyDescent="0.2">
      <c r="B36" s="135" t="s">
        <v>32</v>
      </c>
      <c r="C36" s="131">
        <f>'Total Number of Recipients'!N35</f>
        <v>14545.833333333334</v>
      </c>
      <c r="D36" s="131">
        <f>'Total-Adult Recipients'!N35</f>
        <v>3565.75</v>
      </c>
      <c r="E36" s="132">
        <f>'Total-Child Recipients'!N35</f>
        <v>10980.083333333334</v>
      </c>
      <c r="F36" s="54"/>
      <c r="G36" s="72"/>
      <c r="H36" s="72"/>
      <c r="I36" s="72"/>
      <c r="J36" s="72"/>
      <c r="K36" s="72"/>
    </row>
    <row r="37" spans="2:11" s="71" customFormat="1" x14ac:dyDescent="0.2">
      <c r="B37" s="135" t="s">
        <v>33</v>
      </c>
      <c r="C37" s="131">
        <f>'Total Number of Recipients'!N36</f>
        <v>6067.75</v>
      </c>
      <c r="D37" s="131">
        <f>'Total-Adult Recipients'!N36</f>
        <v>1248.1666666666667</v>
      </c>
      <c r="E37" s="132">
        <f>'Total-Child Recipients'!N36</f>
        <v>4819.583333333333</v>
      </c>
      <c r="F37" s="54"/>
      <c r="G37" s="72"/>
      <c r="H37" s="72"/>
      <c r="I37" s="72"/>
      <c r="J37" s="72"/>
      <c r="K37" s="72"/>
    </row>
    <row r="38" spans="2:11" s="71" customFormat="1" x14ac:dyDescent="0.2">
      <c r="B38" s="135" t="s">
        <v>34</v>
      </c>
      <c r="C38" s="131">
        <f>'Total Number of Recipients'!N37</f>
        <v>21645.416666666668</v>
      </c>
      <c r="D38" s="131">
        <f>'Total-Adult Recipients'!N37</f>
        <v>5653.083333333333</v>
      </c>
      <c r="E38" s="132">
        <f>'Total-Child Recipients'!N37</f>
        <v>15992.333333333334</v>
      </c>
      <c r="F38" s="54"/>
      <c r="G38" s="72"/>
      <c r="H38" s="72"/>
      <c r="I38" s="72"/>
      <c r="J38" s="72"/>
      <c r="K38" s="72"/>
    </row>
    <row r="39" spans="2:11" s="71" customFormat="1" x14ac:dyDescent="0.2">
      <c r="B39" s="135" t="s">
        <v>35</v>
      </c>
      <c r="C39" s="131">
        <f>'Total Number of Recipients'!N38</f>
        <v>29943.666666666668</v>
      </c>
      <c r="D39" s="131">
        <f>'Total-Adult Recipients'!N38</f>
        <v>8314.5833333333339</v>
      </c>
      <c r="E39" s="132">
        <f>'Total-Child Recipients'!N38</f>
        <v>21629.083333333332</v>
      </c>
      <c r="F39" s="54"/>
      <c r="G39" s="72"/>
      <c r="H39" s="72"/>
      <c r="I39" s="72"/>
      <c r="J39" s="72"/>
      <c r="K39" s="72"/>
    </row>
    <row r="40" spans="2:11" s="71" customFormat="1" x14ac:dyDescent="0.2">
      <c r="B40" s="135" t="s">
        <v>36</v>
      </c>
      <c r="C40" s="131">
        <f>'Total Number of Recipients'!N39</f>
        <v>166672.25</v>
      </c>
      <c r="D40" s="131">
        <f>'Total-Adult Recipients'!N39</f>
        <v>45935.5</v>
      </c>
      <c r="E40" s="132">
        <f>'Total-Child Recipients'!N39</f>
        <v>120736.75</v>
      </c>
      <c r="F40" s="54"/>
      <c r="G40" s="72"/>
      <c r="H40" s="72"/>
      <c r="I40" s="72"/>
      <c r="J40" s="72"/>
      <c r="K40" s="72"/>
    </row>
    <row r="41" spans="2:11" s="71" customFormat="1" x14ac:dyDescent="0.2">
      <c r="B41" s="135" t="s">
        <v>37</v>
      </c>
      <c r="C41" s="131">
        <f>'Total Number of Recipients'!N40</f>
        <v>24711.416666666668</v>
      </c>
      <c r="D41" s="131">
        <f>'Total-Adult Recipients'!N40</f>
        <v>2929.5833333333335</v>
      </c>
      <c r="E41" s="132">
        <f>'Total-Child Recipients'!N40</f>
        <v>21781.833333333332</v>
      </c>
      <c r="F41" s="54"/>
      <c r="G41" s="72"/>
      <c r="H41" s="72"/>
      <c r="I41" s="72"/>
      <c r="J41" s="72"/>
      <c r="K41" s="72"/>
    </row>
    <row r="42" spans="2:11" s="71" customFormat="1" x14ac:dyDescent="0.2">
      <c r="B42" s="135" t="s">
        <v>38</v>
      </c>
      <c r="C42" s="131">
        <f>'Total Number of Recipients'!N41</f>
        <v>2777.6666666666665</v>
      </c>
      <c r="D42" s="131">
        <f>'Total-Adult Recipients'!N41</f>
        <v>588.25</v>
      </c>
      <c r="E42" s="132">
        <f>'Total-Child Recipients'!N41</f>
        <v>2189.4166666666665</v>
      </c>
      <c r="F42" s="54"/>
      <c r="G42" s="72"/>
      <c r="H42" s="72"/>
      <c r="I42" s="72"/>
      <c r="J42" s="72"/>
      <c r="K42" s="72"/>
    </row>
    <row r="43" spans="2:11" s="71" customFormat="1" x14ac:dyDescent="0.2">
      <c r="B43" s="135" t="s">
        <v>39</v>
      </c>
      <c r="C43" s="131">
        <f>'Total Number of Recipients'!N42</f>
        <v>86600.75</v>
      </c>
      <c r="D43" s="131">
        <f>'Total-Adult Recipients'!N42</f>
        <v>8378.0833333333339</v>
      </c>
      <c r="E43" s="132">
        <f>'Total-Child Recipients'!N42</f>
        <v>78222.666666666672</v>
      </c>
      <c r="F43" s="54"/>
      <c r="G43" s="72"/>
      <c r="H43" s="72"/>
      <c r="I43" s="72"/>
      <c r="J43" s="72"/>
      <c r="K43" s="72"/>
    </row>
    <row r="44" spans="2:11" s="71" customFormat="1" x14ac:dyDescent="0.2">
      <c r="B44" s="135" t="s">
        <v>40</v>
      </c>
      <c r="C44" s="131">
        <f>'Total Number of Recipients'!N43</f>
        <v>11239.833333333334</v>
      </c>
      <c r="D44" s="131">
        <f>'Total-Adult Recipients'!N43</f>
        <v>1607.4166666666667</v>
      </c>
      <c r="E44" s="132">
        <f>'Total-Child Recipients'!N43</f>
        <v>9632.4166666666661</v>
      </c>
      <c r="F44" s="54"/>
      <c r="G44" s="72"/>
      <c r="H44" s="72"/>
      <c r="I44" s="72"/>
      <c r="J44" s="72"/>
      <c r="K44" s="72"/>
    </row>
    <row r="45" spans="2:11" s="71" customFormat="1" x14ac:dyDescent="0.2">
      <c r="B45" s="135" t="s">
        <v>41</v>
      </c>
      <c r="C45" s="131">
        <f>'Total Number of Recipients'!N44</f>
        <v>31924.416666666668</v>
      </c>
      <c r="D45" s="131">
        <f>'Total-Adult Recipients'!N44</f>
        <v>9001.9166666666661</v>
      </c>
      <c r="E45" s="132">
        <f>'Total-Child Recipients'!N44</f>
        <v>22922.5</v>
      </c>
      <c r="F45" s="54"/>
      <c r="G45" s="72"/>
      <c r="H45" s="72"/>
      <c r="I45" s="72"/>
      <c r="J45" s="72"/>
      <c r="K45" s="72"/>
    </row>
    <row r="46" spans="2:11" s="71" customFormat="1" x14ac:dyDescent="0.2">
      <c r="B46" s="135" t="s">
        <v>42</v>
      </c>
      <c r="C46" s="131">
        <f>'Total Number of Recipients'!N45</f>
        <v>64727.166666666664</v>
      </c>
      <c r="D46" s="131">
        <f>'Total-Adult Recipients'!N45</f>
        <v>14568.333333333334</v>
      </c>
      <c r="E46" s="132">
        <f>'Total-Child Recipients'!N45</f>
        <v>50158.833333333336</v>
      </c>
      <c r="F46" s="54"/>
      <c r="G46" s="72"/>
      <c r="H46" s="72"/>
      <c r="I46" s="72"/>
      <c r="J46" s="72"/>
      <c r="K46" s="72"/>
    </row>
    <row r="47" spans="2:11" s="71" customFormat="1" x14ac:dyDescent="0.2">
      <c r="B47" s="135" t="s">
        <v>43</v>
      </c>
      <c r="C47" s="131">
        <f>'Total Number of Recipients'!N46</f>
        <v>11999.916666666666</v>
      </c>
      <c r="D47" s="131">
        <f>'Total-Adult Recipients'!N46</f>
        <v>4635.083333333333</v>
      </c>
      <c r="E47" s="132">
        <f>'Total-Child Recipients'!N46</f>
        <v>7364.833333333333</v>
      </c>
      <c r="F47" s="54"/>
      <c r="G47" s="72"/>
      <c r="H47" s="72"/>
      <c r="I47" s="72"/>
      <c r="J47" s="72"/>
      <c r="K47" s="72"/>
    </row>
    <row r="48" spans="2:11" s="71" customFormat="1" x14ac:dyDescent="0.2">
      <c r="B48" s="135" t="s">
        <v>44</v>
      </c>
      <c r="C48" s="131">
        <f>'Total Number of Recipients'!N47</f>
        <v>5466.333333333333</v>
      </c>
      <c r="D48" s="131">
        <f>'Total-Adult Recipients'!N47</f>
        <v>1302.5833333333333</v>
      </c>
      <c r="E48" s="132">
        <f>'Total-Child Recipients'!N47</f>
        <v>4163.75</v>
      </c>
      <c r="F48" s="54"/>
      <c r="G48" s="72"/>
      <c r="H48" s="72"/>
      <c r="I48" s="72"/>
      <c r="J48" s="72"/>
      <c r="K48" s="72"/>
    </row>
    <row r="49" spans="2:17" s="71" customFormat="1" x14ac:dyDescent="0.2">
      <c r="B49" s="135" t="s">
        <v>45</v>
      </c>
      <c r="C49" s="131">
        <f>'Total Number of Recipients'!N48</f>
        <v>16672.25</v>
      </c>
      <c r="D49" s="131">
        <f>'Total-Adult Recipients'!N48</f>
        <v>2998.9166666666665</v>
      </c>
      <c r="E49" s="132">
        <f>'Total-Child Recipients'!N48</f>
        <v>13673.333333333334</v>
      </c>
      <c r="F49" s="54"/>
      <c r="G49" s="72"/>
      <c r="H49" s="72"/>
      <c r="I49" s="72"/>
      <c r="J49" s="72"/>
      <c r="K49" s="72"/>
    </row>
    <row r="50" spans="2:17" s="71" customFormat="1" x14ac:dyDescent="0.2">
      <c r="B50" s="135" t="s">
        <v>46</v>
      </c>
      <c r="C50" s="131">
        <f>'Total Number of Recipients'!N49</f>
        <v>5096.25</v>
      </c>
      <c r="D50" s="131">
        <f>'Total-Adult Recipients'!N49</f>
        <v>370.25</v>
      </c>
      <c r="E50" s="132">
        <f>'Total-Child Recipients'!N49</f>
        <v>4726</v>
      </c>
      <c r="F50" s="54"/>
      <c r="G50" s="72"/>
      <c r="H50" s="72"/>
      <c r="I50" s="72"/>
      <c r="J50" s="72"/>
      <c r="K50" s="72"/>
    </row>
    <row r="51" spans="2:17" s="71" customFormat="1" x14ac:dyDescent="0.2">
      <c r="B51" s="135" t="s">
        <v>47</v>
      </c>
      <c r="C51" s="131">
        <f>'Total Number of Recipients'!N50</f>
        <v>29218.333333333332</v>
      </c>
      <c r="D51" s="131">
        <f>'Total-Adult Recipients'!N50</f>
        <v>4826.583333333333</v>
      </c>
      <c r="E51" s="132">
        <f>'Total-Child Recipients'!N50</f>
        <v>24391.75</v>
      </c>
      <c r="F51" s="54"/>
      <c r="G51" s="72"/>
      <c r="H51" s="72"/>
      <c r="I51" s="72"/>
      <c r="J51" s="72"/>
      <c r="K51" s="72"/>
    </row>
    <row r="52" spans="2:17" s="71" customFormat="1" x14ac:dyDescent="0.2">
      <c r="B52" s="135" t="s">
        <v>48</v>
      </c>
      <c r="C52" s="131">
        <f>'Total Number of Recipients'!N51</f>
        <v>37210.916666666664</v>
      </c>
      <c r="D52" s="131">
        <f>'Total-Adult Recipients'!N51</f>
        <v>5881.75</v>
      </c>
      <c r="E52" s="132">
        <f>'Total-Child Recipients'!N51</f>
        <v>31329.166666666668</v>
      </c>
      <c r="F52" s="54"/>
      <c r="G52" s="72"/>
      <c r="H52" s="72"/>
      <c r="I52" s="72"/>
      <c r="J52" s="72"/>
      <c r="K52" s="72"/>
    </row>
    <row r="53" spans="2:17" s="71" customFormat="1" x14ac:dyDescent="0.2">
      <c r="B53" s="135" t="s">
        <v>49</v>
      </c>
      <c r="C53" s="131">
        <f>'Total Number of Recipients'!N52</f>
        <v>5360.666666666667</v>
      </c>
      <c r="D53" s="131">
        <f>'Total-Adult Recipients'!N52</f>
        <v>1313.5833333333333</v>
      </c>
      <c r="E53" s="132">
        <f>'Total-Child Recipients'!N52</f>
        <v>4047.0833333333335</v>
      </c>
      <c r="F53" s="54"/>
      <c r="G53" s="72"/>
      <c r="H53" s="72"/>
      <c r="I53" s="72"/>
      <c r="J53" s="72"/>
      <c r="K53" s="72"/>
    </row>
    <row r="54" spans="2:17" s="71" customFormat="1" x14ac:dyDescent="0.2">
      <c r="B54" s="135" t="s">
        <v>50</v>
      </c>
      <c r="C54" s="131">
        <f>'Total Number of Recipients'!N53</f>
        <v>3268.9166666666665</v>
      </c>
      <c r="D54" s="131">
        <f>'Total-Adult Recipients'!N53</f>
        <v>679.5</v>
      </c>
      <c r="E54" s="132">
        <f>'Total-Child Recipients'!N53</f>
        <v>2589.4166666666665</v>
      </c>
      <c r="F54" s="54"/>
      <c r="G54" s="72"/>
      <c r="H54" s="72"/>
      <c r="I54" s="72"/>
      <c r="J54" s="72"/>
      <c r="K54" s="72"/>
    </row>
    <row r="55" spans="2:17" s="71" customFormat="1" x14ac:dyDescent="0.2">
      <c r="B55" s="135" t="s">
        <v>51</v>
      </c>
      <c r="C55" s="131">
        <f>'Total Number of Recipients'!N54</f>
        <v>242.58333333333334</v>
      </c>
      <c r="D55" s="131">
        <f>'Total-Adult Recipients'!N54</f>
        <v>73.416666666666671</v>
      </c>
      <c r="E55" s="132">
        <f>'Total-Child Recipients'!N54</f>
        <v>169.16666666666666</v>
      </c>
      <c r="F55" s="54"/>
      <c r="G55" s="72"/>
      <c r="H55" s="72"/>
      <c r="I55" s="72"/>
      <c r="J55" s="72"/>
      <c r="K55" s="72"/>
    </row>
    <row r="56" spans="2:17" s="71" customFormat="1" x14ac:dyDescent="0.2">
      <c r="B56" s="135" t="s">
        <v>52</v>
      </c>
      <c r="C56" s="131">
        <f>'Total Number of Recipients'!N55</f>
        <v>33269.083333333336</v>
      </c>
      <c r="D56" s="131">
        <f>'Total-Adult Recipients'!N55</f>
        <v>7419.416666666667</v>
      </c>
      <c r="E56" s="132">
        <f>'Total-Child Recipients'!N55</f>
        <v>25849.666666666668</v>
      </c>
      <c r="F56" s="54"/>
      <c r="G56" s="72"/>
      <c r="H56" s="72"/>
      <c r="I56" s="72"/>
      <c r="J56" s="72"/>
      <c r="K56" s="72"/>
    </row>
    <row r="57" spans="2:17" s="71" customFormat="1" x14ac:dyDescent="0.2">
      <c r="B57" s="135" t="s">
        <v>53</v>
      </c>
      <c r="C57" s="131">
        <f>'Total Number of Recipients'!N56</f>
        <v>64911.75</v>
      </c>
      <c r="D57" s="131">
        <f>'Total-Adult Recipients'!N56</f>
        <v>18633.083333333332</v>
      </c>
      <c r="E57" s="132">
        <f>'Total-Child Recipients'!N56</f>
        <v>46278.666666666664</v>
      </c>
      <c r="F57" s="54"/>
      <c r="G57" s="72"/>
      <c r="H57" s="72"/>
      <c r="I57" s="72"/>
      <c r="J57" s="72"/>
      <c r="K57" s="72"/>
    </row>
    <row r="58" spans="2:17" s="71" customFormat="1" x14ac:dyDescent="0.2">
      <c r="B58" s="135" t="s">
        <v>54</v>
      </c>
      <c r="C58" s="131">
        <f>'Total Number of Recipients'!N57</f>
        <v>10996.916666666666</v>
      </c>
      <c r="D58" s="131">
        <f>'Total-Adult Recipients'!N57</f>
        <v>1707.5</v>
      </c>
      <c r="E58" s="132">
        <f>'Total-Child Recipients'!N57</f>
        <v>9289.4166666666661</v>
      </c>
      <c r="F58" s="54"/>
      <c r="G58" s="72"/>
      <c r="H58" s="72"/>
      <c r="I58" s="72"/>
      <c r="J58" s="72"/>
      <c r="K58" s="72"/>
    </row>
    <row r="59" spans="2:17" s="71" customFormat="1" x14ac:dyDescent="0.2">
      <c r="B59" s="135" t="s">
        <v>55</v>
      </c>
      <c r="C59" s="131">
        <f>'Total Number of Recipients'!N58</f>
        <v>33151.5</v>
      </c>
      <c r="D59" s="131">
        <f>'Total-Adult Recipients'!N58</f>
        <v>5807.5</v>
      </c>
      <c r="E59" s="132">
        <f>'Total-Child Recipients'!N58</f>
        <v>27344</v>
      </c>
      <c r="F59" s="54"/>
      <c r="G59" s="72"/>
      <c r="H59" s="72"/>
      <c r="I59" s="72"/>
      <c r="J59" s="72"/>
      <c r="K59" s="72"/>
    </row>
    <row r="60" spans="2:17" s="71" customFormat="1" x14ac:dyDescent="0.2">
      <c r="B60" s="136" t="s">
        <v>56</v>
      </c>
      <c r="C60" s="133">
        <f>'Total Number of Recipients'!N59</f>
        <v>1120.9166666666667</v>
      </c>
      <c r="D60" s="133">
        <f>'Total-Adult Recipients'!N59</f>
        <v>261.08333333333331</v>
      </c>
      <c r="E60" s="134">
        <f>'Total-Child Recipients'!N59</f>
        <v>859.83333333333337</v>
      </c>
      <c r="F60" s="54"/>
      <c r="G60" s="72"/>
      <c r="H60" s="72"/>
      <c r="I60" s="72"/>
      <c r="J60" s="72"/>
      <c r="K60" s="72"/>
    </row>
    <row r="61" spans="2:17" x14ac:dyDescent="0.2">
      <c r="B61" s="73">
        <f>'Total Number of Families'!$A$3</f>
        <v>44630</v>
      </c>
      <c r="C61" s="88"/>
      <c r="D61" s="88"/>
      <c r="E61" s="88"/>
      <c r="F61" s="48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</row>
    <row r="62" spans="2:17" x14ac:dyDescent="0.2">
      <c r="B62" s="78" t="s">
        <v>57</v>
      </c>
      <c r="C62" s="78"/>
      <c r="D62" s="78"/>
      <c r="E62" s="78"/>
    </row>
    <row r="63" spans="2:17" x14ac:dyDescent="0.2">
      <c r="B63" s="76" t="s">
        <v>58</v>
      </c>
      <c r="C63" s="78"/>
      <c r="D63" s="78"/>
      <c r="E63" s="78"/>
    </row>
    <row r="64" spans="2:17" x14ac:dyDescent="0.2">
      <c r="B64" s="76" t="s">
        <v>80</v>
      </c>
      <c r="C64" s="78"/>
      <c r="D64" s="78"/>
      <c r="E64" s="78"/>
    </row>
    <row r="66" spans="6:6" x14ac:dyDescent="0.2">
      <c r="F66" s="79"/>
    </row>
    <row r="67" spans="6:6" x14ac:dyDescent="0.2">
      <c r="F67" s="79"/>
    </row>
    <row r="68" spans="6:6" x14ac:dyDescent="0.2">
      <c r="F68" s="79"/>
    </row>
    <row r="69" spans="6:6" x14ac:dyDescent="0.2">
      <c r="F69" s="79"/>
    </row>
    <row r="70" spans="6:6" x14ac:dyDescent="0.2">
      <c r="F70" s="79"/>
    </row>
    <row r="71" spans="6:6" x14ac:dyDescent="0.2">
      <c r="F71" s="79"/>
    </row>
    <row r="72" spans="6:6" x14ac:dyDescent="0.2">
      <c r="F72" s="79"/>
    </row>
    <row r="73" spans="6:6" x14ac:dyDescent="0.2">
      <c r="F73" s="79"/>
    </row>
    <row r="74" spans="6:6" x14ac:dyDescent="0.2">
      <c r="F74" s="79"/>
    </row>
    <row r="75" spans="6:6" x14ac:dyDescent="0.2">
      <c r="F75" s="79"/>
    </row>
    <row r="76" spans="6:6" x14ac:dyDescent="0.2">
      <c r="F76" s="79"/>
    </row>
    <row r="77" spans="6:6" x14ac:dyDescent="0.2">
      <c r="F77" s="79"/>
    </row>
    <row r="78" spans="6:6" x14ac:dyDescent="0.2">
      <c r="F78" s="79"/>
    </row>
    <row r="79" spans="6:6" x14ac:dyDescent="0.2">
      <c r="F79" s="79"/>
    </row>
    <row r="80" spans="6:6" x14ac:dyDescent="0.2">
      <c r="F80" s="79"/>
    </row>
    <row r="81" spans="6:6" x14ac:dyDescent="0.2">
      <c r="F81" s="79"/>
    </row>
    <row r="82" spans="6:6" x14ac:dyDescent="0.2">
      <c r="F82" s="79"/>
    </row>
    <row r="83" spans="6:6" x14ac:dyDescent="0.2">
      <c r="F83" s="79"/>
    </row>
    <row r="84" spans="6:6" x14ac:dyDescent="0.2">
      <c r="F84" s="79"/>
    </row>
    <row r="85" spans="6:6" x14ac:dyDescent="0.2">
      <c r="F85" s="79"/>
    </row>
    <row r="86" spans="6:6" x14ac:dyDescent="0.2">
      <c r="F86" s="79"/>
    </row>
    <row r="87" spans="6:6" x14ac:dyDescent="0.2">
      <c r="F87" s="79"/>
    </row>
    <row r="88" spans="6:6" x14ac:dyDescent="0.2">
      <c r="F88" s="79"/>
    </row>
    <row r="89" spans="6:6" x14ac:dyDescent="0.2">
      <c r="F89" s="79"/>
    </row>
    <row r="90" spans="6:6" x14ac:dyDescent="0.2">
      <c r="F90" s="79"/>
    </row>
    <row r="91" spans="6:6" x14ac:dyDescent="0.2">
      <c r="F91" s="79"/>
    </row>
    <row r="92" spans="6:6" x14ac:dyDescent="0.2">
      <c r="F92" s="79"/>
    </row>
    <row r="93" spans="6:6" x14ac:dyDescent="0.2">
      <c r="F93" s="79"/>
    </row>
    <row r="94" spans="6:6" x14ac:dyDescent="0.2">
      <c r="F94" s="79"/>
    </row>
    <row r="95" spans="6:6" x14ac:dyDescent="0.2">
      <c r="F95" s="79"/>
    </row>
    <row r="96" spans="6:6" x14ac:dyDescent="0.2">
      <c r="F96" s="79"/>
    </row>
    <row r="97" spans="6:6" x14ac:dyDescent="0.2">
      <c r="F97" s="79"/>
    </row>
    <row r="98" spans="6:6" x14ac:dyDescent="0.2">
      <c r="F98" s="79"/>
    </row>
    <row r="99" spans="6:6" x14ac:dyDescent="0.2">
      <c r="F99" s="79"/>
    </row>
    <row r="100" spans="6:6" x14ac:dyDescent="0.2">
      <c r="F100" s="79"/>
    </row>
    <row r="101" spans="6:6" x14ac:dyDescent="0.2">
      <c r="F101" s="79"/>
    </row>
    <row r="102" spans="6:6" x14ac:dyDescent="0.2">
      <c r="F102" s="79"/>
    </row>
    <row r="103" spans="6:6" x14ac:dyDescent="0.2">
      <c r="F103" s="79"/>
    </row>
    <row r="104" spans="6:6" x14ac:dyDescent="0.2">
      <c r="F104" s="79"/>
    </row>
    <row r="105" spans="6:6" x14ac:dyDescent="0.2">
      <c r="F105" s="79"/>
    </row>
    <row r="106" spans="6:6" x14ac:dyDescent="0.2">
      <c r="F106" s="79"/>
    </row>
    <row r="107" spans="6:6" x14ac:dyDescent="0.2">
      <c r="F107" s="79"/>
    </row>
    <row r="108" spans="6:6" x14ac:dyDescent="0.2">
      <c r="F108" s="79"/>
    </row>
    <row r="109" spans="6:6" x14ac:dyDescent="0.2">
      <c r="F109" s="79"/>
    </row>
    <row r="110" spans="6:6" x14ac:dyDescent="0.2">
      <c r="F110" s="79"/>
    </row>
    <row r="111" spans="6:6" x14ac:dyDescent="0.2">
      <c r="F111" s="79"/>
    </row>
    <row r="112" spans="6:6" x14ac:dyDescent="0.2">
      <c r="F112" s="79"/>
    </row>
    <row r="113" spans="6:6" x14ac:dyDescent="0.2">
      <c r="F113" s="79"/>
    </row>
    <row r="114" spans="6:6" x14ac:dyDescent="0.2">
      <c r="F114" s="79"/>
    </row>
    <row r="115" spans="6:6" x14ac:dyDescent="0.2">
      <c r="F115" s="79"/>
    </row>
    <row r="116" spans="6:6" x14ac:dyDescent="0.2">
      <c r="F116" s="79"/>
    </row>
    <row r="117" spans="6:6" x14ac:dyDescent="0.2">
      <c r="F117" s="79"/>
    </row>
    <row r="118" spans="6:6" x14ac:dyDescent="0.2">
      <c r="F118" s="79"/>
    </row>
    <row r="119" spans="6:6" x14ac:dyDescent="0.2">
      <c r="F119" s="79"/>
    </row>
    <row r="120" spans="6:6" x14ac:dyDescent="0.2">
      <c r="F120" s="79"/>
    </row>
    <row r="121" spans="6:6" x14ac:dyDescent="0.2">
      <c r="F121" s="79"/>
    </row>
    <row r="122" spans="6:6" x14ac:dyDescent="0.2">
      <c r="F122" s="79"/>
    </row>
    <row r="123" spans="6:6" x14ac:dyDescent="0.2">
      <c r="F123" s="79"/>
    </row>
    <row r="124" spans="6:6" x14ac:dyDescent="0.2">
      <c r="F124" s="79"/>
    </row>
    <row r="125" spans="6:6" x14ac:dyDescent="0.2">
      <c r="F125" s="79"/>
    </row>
    <row r="126" spans="6:6" x14ac:dyDescent="0.2">
      <c r="F126" s="79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A0993D8D905488696A330755682E5" ma:contentTypeVersion="14" ma:contentTypeDescription="Create a new document." ma:contentTypeScope="" ma:versionID="21f1649cc44128ed99425616b9fd11e2">
  <xsd:schema xmlns:xsd="http://www.w3.org/2001/XMLSchema" xmlns:xs="http://www.w3.org/2001/XMLSchema" xmlns:p="http://schemas.microsoft.com/office/2006/metadata/properties" xmlns:ns2="5988497e-2e17-43b2-af0d-95c0d4d5f2dc" xmlns:ns3="f3bdd3e4-e979-49cc-96da-aa3924f3c765" targetNamespace="http://schemas.microsoft.com/office/2006/metadata/properties" ma:root="true" ma:fieldsID="86e0a5e94997bf79886f7bc4444e2770" ns2:_="" ns3:_="">
    <xsd:import namespace="5988497e-2e17-43b2-af0d-95c0d4d5f2dc"/>
    <xsd:import namespace="f3bdd3e4-e979-49cc-96da-aa3924f3c7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8497e-2e17-43b2-af0d-95c0d4d5f2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dd3e4-e979-49cc-96da-aa3924f3c76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988497e-2e17-43b2-af0d-95c0d4d5f2dc" xsi:nil="true"/>
  </documentManagement>
</p:properties>
</file>

<file path=customXml/itemProps1.xml><?xml version="1.0" encoding="utf-8"?>
<ds:datastoreItem xmlns:ds="http://schemas.openxmlformats.org/officeDocument/2006/customXml" ds:itemID="{75E479DE-2248-4749-B5C5-833023F96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88497e-2e17-43b2-af0d-95c0d4d5f2dc"/>
    <ds:schemaRef ds:uri="f3bdd3e4-e979-49cc-96da-aa3924f3c7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6EF72D-C108-4353-87CE-2686638801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4E384B9-9F16-4ACB-85E6-4C10745021A4}">
  <ds:schemaRefs>
    <ds:schemaRef ds:uri="http://schemas.microsoft.com/office/2006/metadata/properties"/>
    <ds:schemaRef ds:uri="http://schemas.microsoft.com/office/infopath/2007/PartnerControls"/>
    <ds:schemaRef ds:uri="5988497e-2e17-43b2-af0d-95c0d4d5f2dc"/>
  </ds:schemaRefs>
</ds:datastoreItem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Yun.Song@ACF.hhs.gov</dc:creator>
  <cp:lastModifiedBy>Administrator</cp:lastModifiedBy>
  <cp:lastPrinted>2022-03-21T18:02:04Z</cp:lastPrinted>
  <dcterms:created xsi:type="dcterms:W3CDTF">2017-03-13T13:51:16Z</dcterms:created>
  <dcterms:modified xsi:type="dcterms:W3CDTF">2022-04-06T01:07:32Z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0x010100E00A0993D8D905488696A330755682E5</vt:lpwstr>
  </property>
</Properties>
</file>