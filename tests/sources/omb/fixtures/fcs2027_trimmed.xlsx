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haudhary_n2\Work Folders\Desktop\"/>
    </mc:Choice>
  </mc:AlternateContent>
  <xr:revisionPtr revIDLastSave="0" documentId="13_ncr:1_{D65FB342-7A92-410D-B011-8393142FCA30}" xr6:coauthVersionLast="47" xr6:coauthVersionMax="47" xr10:uidLastSave="{00000000-0000-0000-0000-000000000000}"/>
  <bookViews>
    <workbookView xWindow="-98" yWindow="-98" windowWidth="19396" windowHeight="11475" xr2:uid="{00000000-000D-0000-FFFF-FFFF00000000}"/>
  </bookViews>
  <sheets>
    <sheet name="Introduction" sheetId="1" r:id="rId1"/>
    <sheet name="Table1" sheetId="3" r:id="rId3"/>
    <sheet name="Table2"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<sst xmlns="http://schemas.openxmlformats.org/spreadsheetml/2006/main" count="169" uniqueCount="169">
  <si>
    <t>INTRODUCTION</t>
  </si>
  <si>
    <t>The 2027 Federal Credit Supplement (Supplement) provides summary information about Federal direct loan and loan guarantee programs subject to the Federal Credit Reform Act (FCRA) of 1990, as amended by the Balanced Budget Act of 1997. The credit activities of programs exempt from FCRA do not appear in the Supplement, such as the credit activities of certain agencies providing deposit insurance.</t>
  </si>
  <si>
    <t>Tables 1 and 2 provide 2026 and 2027 subsidy rates, obligations, commitments, average loan size for direct loan and loan guarantee programs, and programs’ respective classification as discretionary or mandatory spending under the Balanced Budget and Emergency Deficit Control Act of 1985 (BBEDCA), as amended. Programs and risk categories with legislative proposals are displayed with one line showing program data under existing law and a second line showing program data under the legislative proposal. For more information on the BBEDCA and credit reform concepts, see Chapter 6, “Budget Concepts,” in the Analytical Perspectives volume of the 2026 Budget.</t>
  </si>
  <si>
    <t>Tables 3 and 4 provide information about the major components of 2026 subsidy rates, including the characteristics of direct loans and loan guarantees, respectively. Tables 5 and 6 provide the same information for direct loans and loan guarantees included in the President’s 2027 Budget request. The subsidy rate reflects the net present value cost for each dollar of credit assistance. The subsidy rate is comprised of four components: defaults, net of recoveries; interest; fees; and all other. Loan characteristics describe the terms of the loan agreement between the borrower and the agency or lender, as well as the estimated nominal default and recovery rates. Loan maturity and grace period data are expressed in years; all other characteristics are expressed as a percentage. The grace period data may be for repayment of principal and/or interest</t>
  </si>
  <si>
    <t>Tables 7 and 8 provide information on the lifetime reestimates of direct loan and loan guarantee cohorts from 1992 through 2025 by agency, bureau, program, and risk category. The tables show the following for each cohort: the original subsidy rate at the point of obligation or commitment; the current reestimated subsidy rate; the change in subsidy rates due to interest and technical updates; dollar reestimates for the current year; net lifetime reestimate data; lifetime disbursements through September 30, 2025; and the total principal outstanding as of September 30, 2025. Some cohorts displayed in the 2027 Supplement have closed—there are no outstanding direct or guaranteed loans in the cohort and no further activity is expected. These cohorts are identified with a footnote and will not be displayed in future Federal Credit Supplement volumes.</t>
  </si>
  <si>
    <t>Tables 9 and 10 show the rates at which the 2027 cohorts of direct loans and guaranteed loans are expected to disburse.</t>
  </si>
  <si>
    <t>Table 1. DIRECT LOANS: SUBSIDY RATES, OBLIGATIONS, AND AVERAGE LOAN SIZE</t>
  </si>
  <si>
    <t>(Dollars in thousands)</t>
  </si>
  <si>
    <t>Agency, Bureau, Program and Risk Category</t>
  </si>
  <si>
    <t>BEA Category</t>
  </si>
  <si>
    <t>Subsidy rate
(percent)</t>
  </si>
  <si>
    <t>Obligations</t>
  </si>
  <si>
    <t>Average loan size</t>
  </si>
  <si>
    <t>Department of Agriculture</t>
  </si>
  <si>
    <t>Farm Service Agency:</t>
  </si>
  <si>
    <t>Agricultural Credit Insurance Fund:</t>
  </si>
  <si>
    <r>
      <rPr>
        <sz val="8"/>
        <rFont val="Arial Narrow"/>
      </rPr>
      <t>Farm Ownership</t>
    </r>
    <r>
      <rPr>
        <sz val="8"/>
        <rFont val="Arial Narrow"/>
      </rPr>
      <t>........................................................................................................................................................................................................</t>
    </r>
  </si>
  <si>
    <t>Discretionary</t>
  </si>
  <si>
    <r>
      <rPr>
        <sz val="8"/>
        <rFont val="Arial Narrow"/>
      </rPr>
      <t>Farm Operating</t>
    </r>
    <r>
      <rPr>
        <sz val="8"/>
        <rFont val="Arial Narrow"/>
      </rPr>
      <t>........................................................................................................................................................................................................</t>
    </r>
  </si>
  <si>
    <r>
      <rPr>
        <sz val="8"/>
        <rFont val="Arial Narrow"/>
      </rPr>
      <t>Emergency Disaster</t>
    </r>
    <r>
      <rPr>
        <sz val="8"/>
        <rFont val="Arial Narrow"/>
      </rPr>
      <t>........................................................................................................................................................................................................</t>
    </r>
  </si>
  <si>
    <t>Farm Storage Facility Loans:</t>
  </si>
  <si>
    <r>
      <rPr>
        <sz val="8"/>
        <rFont val="Arial Narrow"/>
      </rPr>
      <t>Farm Storage Facility Loans</t>
    </r>
    <r>
      <rPr>
        <sz val="8"/>
        <rFont val="Arial Narrow"/>
      </rPr>
      <t>........................................................................................................................................................................................................</t>
    </r>
  </si>
  <si>
    <t>Mandatory</t>
  </si>
  <si>
    <r>
      <rPr>
        <sz val="8"/>
        <rFont val="Arial Narrow"/>
      </rPr>
      <t>Sugar Storage Facility Loans</t>
    </r>
    <r>
      <rPr>
        <sz val="8"/>
        <rFont val="Arial Narrow"/>
      </rPr>
      <t>........................................................................................................................................................................................................</t>
    </r>
  </si>
  <si>
    <t>Rural Housing Service:</t>
  </si>
  <si>
    <t>Rural Community Facilities:</t>
  </si>
  <si>
    <r>
      <rPr>
        <sz val="8"/>
        <rFont val="Arial Narrow"/>
      </rPr>
      <t>Community Facility Loans</t>
    </r>
    <r>
      <rPr>
        <sz val="8"/>
        <rFont val="Arial Narrow"/>
      </rPr>
      <t>........................................................................................................................................................................................................</t>
    </r>
  </si>
  <si>
    <t>Rural Housing Insurance Fund:</t>
  </si>
  <si>
    <r>
      <rPr>
        <sz val="8"/>
        <rFont val="Arial Narrow"/>
      </rPr>
      <t>Section 502 Single Family Housing</t>
    </r>
    <r>
      <rPr>
        <sz val="8"/>
        <rFont val="Arial Narrow"/>
      </rPr>
      <t>........................................................................................................................................................................................................</t>
    </r>
  </si>
  <si>
    <r>
      <rPr>
        <sz val="8"/>
        <rFont val="Arial Narrow"/>
      </rPr>
      <t>Section 515 Multifamily Housing</t>
    </r>
    <r>
      <rPr>
        <sz val="8"/>
        <rFont val="Arial Narrow"/>
      </rPr>
      <t>........................................................................................................................................................................................................</t>
    </r>
  </si>
  <si>
    <r>
      <rPr>
        <sz val="8"/>
        <rFont val="Arial Narrow"/>
      </rPr>
      <t>Section 504 Housing Repair</t>
    </r>
    <r>
      <rPr>
        <sz val="8"/>
        <rFont val="Arial Narrow"/>
      </rPr>
      <t>........................................................................................................................................................................................................</t>
    </r>
  </si>
  <si>
    <r>
      <rPr>
        <sz val="8"/>
        <rFont val="Arial Narrow"/>
      </rPr>
      <t>Section 514 Farm Labor Housing</t>
    </r>
    <r>
      <rPr>
        <sz val="8"/>
        <rFont val="Arial Narrow"/>
      </rPr>
      <t>........................................................................................................................................................................................................</t>
    </r>
  </si>
  <si>
    <r>
      <rPr>
        <sz val="8"/>
        <rFont val="Arial Narrow"/>
      </rPr>
      <t>Section 524 Site Development</t>
    </r>
    <r>
      <rPr>
        <sz val="8"/>
        <rFont val="Arial Narrow"/>
      </rPr>
      <t>........................................................................................................................................................................................................</t>
    </r>
  </si>
  <si>
    <t>......</t>
  </si>
  <si>
    <r>
      <rPr>
        <sz val="8"/>
        <rFont val="Arial Narrow"/>
      </rPr>
      <t>Section 523 Self-Help Housing</t>
    </r>
    <r>
      <rPr>
        <sz val="8"/>
        <rFont val="Arial Narrow"/>
      </rPr>
      <t>........................................................................................................................................................................................................</t>
    </r>
  </si>
  <si>
    <r>
      <rPr>
        <sz val="8"/>
        <rFont val="Arial Narrow"/>
      </rPr>
      <t>Single Family Housing Credit Sales</t>
    </r>
    <r>
      <rPr>
        <sz val="8"/>
        <rFont val="Arial Narrow"/>
      </rPr>
      <t>........................................................................................................................................................................................................</t>
    </r>
  </si>
  <si>
    <r>
      <rPr>
        <sz val="8"/>
        <rFont val="Arial Narrow"/>
      </rPr>
      <t>Multifamily Housing Revitalization Seconds</t>
    </r>
    <r>
      <rPr>
        <sz val="8"/>
        <rFont val="Arial Narrow"/>
      </rPr>
      <t>........................................................................................................................................................................................................</t>
    </r>
  </si>
  <si>
    <r>
      <rPr>
        <sz val="8"/>
        <rFont val="Arial Narrow"/>
      </rPr>
      <t>Multifamily Housing Revitalization Zero</t>
    </r>
    <r>
      <rPr>
        <sz val="8"/>
        <rFont val="Arial Narrow"/>
      </rPr>
      <t>........................................................................................................................................................................................................</t>
    </r>
  </si>
  <si>
    <r>
      <rPr>
        <sz val="8"/>
        <rFont val="Arial Narrow"/>
      </rPr>
      <t>Native American Single Family Relending Pilot</t>
    </r>
    <r>
      <rPr>
        <sz val="8"/>
        <rFont val="Arial Narrow"/>
      </rPr>
      <t>........................................................................................................................................................................................................</t>
    </r>
  </si>
  <si>
    <t>Rural Business-Cooperative Service:</t>
  </si>
  <si>
    <t>Rural Microentrepreneur Assistance Program:</t>
  </si>
  <si>
    <r>
      <rPr>
        <sz val="8"/>
        <rFont val="Arial Narrow"/>
      </rPr>
      <t>Rural Microenterprise Direct Loans</t>
    </r>
    <r>
      <rPr>
        <sz val="8"/>
        <rFont val="Arial Narrow"/>
      </rPr>
      <t>........................................................................................................................................................................................................</t>
    </r>
  </si>
  <si>
    <t>Intermediary Relending Program Fund Account:</t>
  </si>
  <si>
    <r>
      <rPr>
        <sz val="8"/>
        <rFont val="Arial Narrow"/>
      </rPr>
      <t>Intermediary Relending Program</t>
    </r>
    <r>
      <rPr>
        <sz val="8"/>
        <rFont val="Arial Narrow"/>
      </rPr>
      <t>........................................................................................................................................................................................................</t>
    </r>
  </si>
  <si>
    <t>Rural Economic Development Loans:</t>
  </si>
  <si>
    <r>
      <rPr>
        <sz val="8"/>
        <rFont val="Arial Narrow"/>
      </rPr>
      <t>Rural Economic Development Loans</t>
    </r>
    <r>
      <rPr>
        <sz val="8"/>
        <rFont val="Arial Narrow"/>
      </rPr>
      <t>........................................................................................................................................................................................................</t>
    </r>
  </si>
  <si>
    <t>Rural Utilities Service:</t>
  </si>
  <si>
    <t>Rural Water and Waste Disposal:</t>
  </si>
  <si>
    <r>
      <rPr>
        <sz val="8"/>
        <rFont val="Arial Narrow"/>
      </rPr>
      <t>Water and Waste Disposal Loans</t>
    </r>
    <r>
      <rPr>
        <sz val="8"/>
        <rFont val="Arial Narrow"/>
      </rPr>
      <t>........................................................................................................................................................................................................</t>
    </r>
  </si>
  <si>
    <r>
      <rPr>
        <sz val="8"/>
        <rFont val="Arial Narrow"/>
      </rPr>
      <t>Water and Waste 1%</t>
    </r>
    <r>
      <rPr>
        <sz val="8"/>
        <rFont val="Arial Narrow"/>
      </rPr>
      <t>........................................................................................................................................................................................................</t>
    </r>
  </si>
  <si>
    <t>Rural Electrification and Telecommunications Loans:</t>
  </si>
  <si>
    <r>
      <rPr>
        <sz val="8"/>
        <rFont val="Arial Narrow"/>
      </rPr>
      <t>Treasury Electric Loans</t>
    </r>
    <r>
      <rPr>
        <sz val="8"/>
        <rFont val="Arial Narrow"/>
      </rPr>
      <t>........................................................................................................................................................................................................</t>
    </r>
  </si>
  <si>
    <r>
      <rPr>
        <sz val="8"/>
        <rFont val="Arial Narrow"/>
      </rPr>
      <t>FFB Electric Loans</t>
    </r>
    <r>
      <rPr>
        <sz val="8"/>
        <rFont val="Arial Narrow"/>
      </rPr>
      <t>........................................................................................................................................................................................................</t>
    </r>
  </si>
  <si>
    <r>
      <rPr>
        <sz val="8"/>
        <rFont val="Arial Narrow"/>
      </rPr>
      <t>Treasury Telecommunications Loans</t>
    </r>
    <r>
      <rPr>
        <sz val="8"/>
        <rFont val="Arial Narrow"/>
      </rPr>
      <t>........................................................................................................................................................................................................</t>
    </r>
  </si>
  <si>
    <r>
      <rPr>
        <sz val="8"/>
        <rFont val="Arial Narrow"/>
      </rPr>
      <t>FFB Telecommunications Loans</t>
    </r>
    <r>
      <rPr>
        <sz val="8"/>
        <rFont val="Arial Narrow"/>
      </rPr>
      <t>........................................................................................................................................................................................................</t>
    </r>
  </si>
  <si>
    <r>
      <rPr>
        <sz val="8"/>
        <rFont val="Arial Narrow"/>
      </rPr>
      <t>Rural Energy Savings Program</t>
    </r>
    <r>
      <rPr>
        <sz val="8"/>
        <rFont val="Arial Narrow"/>
      </rPr>
      <t>........................................................................................................................................................................................................</t>
    </r>
  </si>
  <si>
    <r>
      <rPr>
        <sz val="8"/>
        <rFont val="Arial Narrow"/>
      </rPr>
      <t>Consumer Oriented Operating Loans</t>
    </r>
    <r>
      <rPr>
        <sz val="8"/>
        <rFont val="Arial Narrow"/>
      </rPr>
      <t>........................................................................................................................................................................................................</t>
    </r>
  </si>
  <si>
    <r>
      <rPr>
        <sz val="8"/>
        <rFont val="Arial Narrow"/>
      </rPr>
      <t>IRA Section 22001</t>
    </r>
    <r>
      <rPr>
        <sz val="8"/>
        <rFont val="Arial Narrow"/>
      </rPr>
      <t>........................................................................................................................................................................................................</t>
    </r>
  </si>
  <si>
    <r>
      <rPr>
        <sz val="8"/>
        <rFont val="Arial Narrow"/>
      </rPr>
      <t>IRA Section 22004 Blended</t>
    </r>
    <r>
      <rPr>
        <sz val="8"/>
        <rFont val="Arial Narrow"/>
      </rPr>
      <t>........................................................................................................................................................................................................</t>
    </r>
  </si>
  <si>
    <r>
      <rPr>
        <sz val="8"/>
        <rFont val="Arial Narrow"/>
      </rPr>
      <t>IRA Section 22004 Zero</t>
    </r>
    <r>
      <rPr>
        <sz val="8"/>
        <rFont val="Arial Narrow"/>
      </rPr>
      <t>........................................................................................................................................................................................................</t>
    </r>
  </si>
  <si>
    <t>Distance Learning, Telemedicine, and Broadband Program:</t>
  </si>
  <si>
    <r>
      <rPr>
        <sz val="8"/>
        <rFont val="Arial Narrow"/>
      </rPr>
      <t>Broadband Treasury Rate Loans</t>
    </r>
    <r>
      <rPr>
        <sz val="8"/>
        <rFont val="Arial Narrow"/>
      </rPr>
      <t>........................................................................................................................................................................................................</t>
    </r>
  </si>
  <si>
    <r>
      <rPr>
        <sz val="8"/>
        <rFont val="Arial Narrow"/>
      </rPr>
      <t>ReConnect Direct Loans</t>
    </r>
    <r>
      <rPr>
        <sz val="8"/>
        <rFont val="Arial Narrow"/>
      </rPr>
      <t>........................................................................................................................................................................................................</t>
    </r>
  </si>
  <si>
    <r>
      <rPr>
        <sz val="8"/>
        <rFont val="Arial Narrow"/>
      </rPr>
      <t>ReConnect Grant Assisted Loans</t>
    </r>
    <r>
      <rPr>
        <sz val="8"/>
        <rFont val="Arial Narrow"/>
      </rPr>
      <t>........................................................................................................................................................................................................</t>
    </r>
  </si>
  <si>
    <t>Department of Commerce</t>
  </si>
  <si>
    <t>National Oceanic and Atmospheric Administration:</t>
  </si>
  <si>
    <t>Fisheries Finance:</t>
  </si>
  <si>
    <r>
      <rPr>
        <sz val="8"/>
        <rFont val="Arial Narrow"/>
      </rPr>
      <t>Individual Fishing Quota Loans</t>
    </r>
    <r>
      <rPr>
        <sz val="8"/>
        <rFont val="Arial Narrow"/>
      </rPr>
      <t>........................................................................................................................................................................................................</t>
    </r>
  </si>
  <si>
    <r>
      <rPr>
        <sz val="8"/>
        <rFont val="Arial Narrow"/>
      </rPr>
      <t>Traditional Direct Loans</t>
    </r>
    <r>
      <rPr>
        <sz val="8"/>
        <rFont val="Arial Narrow"/>
      </rPr>
      <t>........................................................................................................................................................................................................</t>
    </r>
  </si>
  <si>
    <t>National Institute of Standards and Technology:</t>
  </si>
  <si>
    <r>
      <rPr>
        <sz val="8"/>
        <rFont val="Arial Narrow"/>
      </rPr>
      <t>CHIPS Direct Loans</t>
    </r>
    <r>
      <rPr>
        <sz val="8"/>
        <rFont val="Arial Narrow"/>
      </rPr>
      <t>........................................................................................................................................................................................................</t>
    </r>
  </si>
  <si>
    <t>Department of War—Military Programs</t>
  </si>
  <si>
    <t>Procurement:</t>
  </si>
  <si>
    <t>Defense Strategic Capital Credit Program:</t>
  </si>
  <si>
    <r>
      <rPr>
        <sz val="8"/>
        <rFont val="Arial Narrow"/>
      </rPr>
      <t>Office of Strategic Capital Direct Loans</t>
    </r>
    <r>
      <rPr>
        <sz val="8"/>
        <rFont val="Arial Narrow"/>
      </rPr>
      <t>........................................................................................................................................................................................................</t>
    </r>
  </si>
  <si>
    <r>
      <rPr>
        <sz val="8"/>
        <rFont val="Arial Narrow"/>
      </rPr>
      <t>Office of Strategic Capital Direct Loans (Legislative Proposal)</t>
    </r>
    <r>
      <rPr>
        <sz val="8"/>
        <rFont val="Arial Narrow"/>
      </rPr>
      <t>........................................................................................................................................................................................................</t>
    </r>
  </si>
  <si>
    <t>Department of Education</t>
  </si>
  <si>
    <t>Office of Postsecondary Education:</t>
  </si>
  <si>
    <r>
      <rPr>
        <sz val="8"/>
        <rFont val="Arial Narrow"/>
      </rPr>
      <t>Historically Black Colleges and Universities</t>
    </r>
    <r>
      <rPr>
        <sz val="8"/>
        <rFont val="Arial Narrow"/>
      </rPr>
      <t>........................................................................................................................................................................................................</t>
    </r>
  </si>
  <si>
    <t>Office of Federal Student Aid:</t>
  </si>
  <si>
    <t>TEACH Grant:</t>
  </si>
  <si>
    <r>
      <rPr>
        <sz val="8"/>
        <rFont val="Arial Narrow"/>
      </rPr>
      <t>TEACH Grants</t>
    </r>
    <r>
      <rPr>
        <sz val="8"/>
        <rFont val="Arial Narrow"/>
      </rPr>
      <t>........................................................................................................................................................................................................</t>
    </r>
  </si>
  <si>
    <t>Federal Direct Student Loan:</t>
  </si>
  <si>
    <r>
      <rPr>
        <sz val="8"/>
        <rFont val="Arial Narrow"/>
      </rPr>
      <t>Consolidation</t>
    </r>
    <r>
      <rPr>
        <sz val="8"/>
        <rFont val="Arial Narrow"/>
      </rPr>
      <t>........................................................................................................................................................................................................</t>
    </r>
  </si>
  <si>
    <r>
      <rPr>
        <sz val="8"/>
        <rFont val="Arial Narrow"/>
      </rPr>
      <t>PLUS</t>
    </r>
    <r>
      <rPr>
        <sz val="8"/>
        <rFont val="Arial Narrow"/>
      </rPr>
      <t>........................................................................................................................................................................................................</t>
    </r>
  </si>
  <si>
    <r>
      <rPr>
        <sz val="8"/>
        <rFont val="Arial Narrow"/>
      </rPr>
      <t>Stafford</t>
    </r>
    <r>
      <rPr>
        <sz val="8"/>
        <rFont val="Arial Narrow"/>
      </rPr>
      <t>........................................................................................................................................................................................................</t>
    </r>
  </si>
  <si>
    <r>
      <rPr>
        <sz val="8"/>
        <rFont val="Arial Narrow"/>
      </rPr>
      <t>Unsubsidized Stafford</t>
    </r>
    <r>
      <rPr>
        <sz val="8"/>
        <rFont val="Arial Narrow"/>
      </rPr>
      <t>........................................................................................................................................................................................................</t>
    </r>
  </si>
  <si>
    <r>
      <rPr>
        <sz val="8"/>
        <rFont val="Arial Narrow"/>
      </rPr>
      <t>Weighted Average of Total Obligations</t>
    </r>
    <r>
      <rPr>
        <sz val="8"/>
        <rFont val="Arial Narrow"/>
      </rPr>
      <t>........................................................................................................................................................................................................</t>
    </r>
  </si>
  <si>
    <t>Department of Energy</t>
  </si>
  <si>
    <t>Energy Programs:</t>
  </si>
  <si>
    <t>Title 17 Innovative Technology Loan Guarantee Program:</t>
  </si>
  <si>
    <r>
      <rPr>
        <sz val="8"/>
        <rFont val="Arial Narrow"/>
      </rPr>
      <t>Section 1703 FFB Loans</t>
    </r>
    <r>
      <rPr>
        <sz val="8"/>
        <rFont val="Arial Narrow"/>
      </rPr>
      <t>........................................................................................................................................................................................................</t>
    </r>
  </si>
  <si>
    <r>
      <rPr>
        <sz val="8"/>
        <rFont val="Arial Narrow"/>
      </rPr>
      <t>Section 1706 FFB Loans</t>
    </r>
    <r>
      <rPr>
        <sz val="8"/>
        <rFont val="Arial Narrow"/>
      </rPr>
      <t>........................................................................................................................................................................................................</t>
    </r>
  </si>
  <si>
    <t>Tribal Energy Loan Guarantee Program:</t>
  </si>
  <si>
    <r>
      <rPr>
        <sz val="8"/>
        <rFont val="Arial Narrow"/>
      </rPr>
      <t>Tribal Energy FFB Loans</t>
    </r>
    <r>
      <rPr>
        <sz val="8"/>
        <rFont val="Arial Narrow"/>
      </rPr>
      <t>........................................................................................................................................................................................................</t>
    </r>
  </si>
  <si>
    <t>Department of Homeland Security</t>
  </si>
  <si>
    <t>Federal Emergency Management Agency:</t>
  </si>
  <si>
    <r>
      <rPr>
        <sz val="8"/>
        <rFont val="Arial Narrow"/>
      </rPr>
      <t>Community Disaster Loan Program</t>
    </r>
    <r>
      <rPr>
        <sz val="8"/>
        <rFont val="Arial Narrow"/>
      </rPr>
      <t>........................................................................................................................................................................................................</t>
    </r>
  </si>
  <si>
    <t>Department of Housing and Urban Development</t>
  </si>
  <si>
    <t>Housing Programs:</t>
  </si>
  <si>
    <t>Green and Resilient Retrofit Program for Multifamily Housing:</t>
  </si>
  <si>
    <r>
      <rPr>
        <sz val="8"/>
        <rFont val="Arial Narrow"/>
      </rPr>
      <t>Surplus Cash Loan - 25%</t>
    </r>
    <r>
      <rPr>
        <sz val="8"/>
        <rFont val="Arial Narrow"/>
      </rPr>
      <t>........................................................................................................................................................................................................</t>
    </r>
  </si>
  <si>
    <r>
      <rPr>
        <sz val="8"/>
        <rFont val="Arial Narrow"/>
      </rPr>
      <t>Surplus Cash Loan - 50%</t>
    </r>
    <r>
      <rPr>
        <sz val="8"/>
        <rFont val="Arial Narrow"/>
      </rPr>
      <t>........................................................................................................................................................................................................</t>
    </r>
  </si>
  <si>
    <t>FHA-General and Special Risk:</t>
  </si>
  <si>
    <r>
      <rPr>
        <sz val="8"/>
        <rFont val="Arial Narrow"/>
      </rPr>
      <t>FFB Risk Sharing</t>
    </r>
    <r>
      <rPr>
        <sz val="8"/>
        <rFont val="Arial Narrow"/>
      </rPr>
      <t>........................................................................................................................................................................................................</t>
    </r>
  </si>
  <si>
    <t>Department of State</t>
  </si>
  <si>
    <t>Administration of Foreign Affairs:</t>
  </si>
  <si>
    <r>
      <rPr>
        <sz val="8"/>
        <rFont val="Arial Narrow"/>
      </rPr>
      <t>Repatriation Loans</t>
    </r>
    <r>
      <rPr>
        <sz val="8"/>
        <rFont val="Arial Narrow"/>
      </rPr>
      <t>........................................................................................................................................................................................................</t>
    </r>
  </si>
  <si>
    <t>International Assistance Programs</t>
  </si>
  <si>
    <t>International Security Assistance:</t>
  </si>
  <si>
    <r>
      <rPr>
        <sz val="8"/>
        <rFont val="Arial Narrow"/>
      </rPr>
      <t>FMF Direct Loan Program</t>
    </r>
    <r>
      <rPr>
        <sz val="8"/>
        <rFont val="Arial Narrow"/>
      </rPr>
      <t>........................................................................................................................................................................................................</t>
    </r>
  </si>
  <si>
    <t>United States International Development Finance Corporation:</t>
  </si>
  <si>
    <t>Program Account:</t>
  </si>
  <si>
    <r>
      <rPr>
        <sz val="8"/>
        <rFont val="Arial Narrow"/>
      </rPr>
      <t>Direct Loans</t>
    </r>
    <r>
      <rPr>
        <sz val="8"/>
        <rFont val="Arial Narrow"/>
      </rPr>
      <t>........................................................................................................................................................................................................</t>
    </r>
  </si>
  <si>
    <r>
      <rPr>
        <sz val="8"/>
        <rFont val="Arial Narrow"/>
      </rPr>
      <t>Direct Loan Investment Funds</t>
    </r>
    <r>
      <rPr>
        <sz val="8"/>
        <rFont val="Arial Narrow"/>
      </rPr>
      <t>........................................................................................................................................................................................................</t>
    </r>
  </si>
  <si>
    <r>
      <rPr>
        <sz val="8"/>
        <rFont val="Arial Narrow"/>
      </rPr>
      <t>Direct Loans in Foreign Currencies</t>
    </r>
    <r>
      <rPr>
        <sz val="8"/>
        <rFont val="Arial Narrow"/>
      </rPr>
      <t>........................................................................................................................................................................................................</t>
    </r>
  </si>
  <si>
    <t>Department of Transportation</t>
  </si>
  <si>
    <t>Office of the Secretary:</t>
  </si>
  <si>
    <t>TIFIA Highway Trust Fund:</t>
  </si>
  <si>
    <r>
      <rPr>
        <sz val="8"/>
        <rFont val="Arial Narrow"/>
      </rPr>
      <t>TIFIA Direct Loans</t>
    </r>
    <r>
      <rPr>
        <sz val="8"/>
        <rFont val="Arial Narrow"/>
      </rPr>
      <t>........................................................................................................................................................................................................</t>
    </r>
  </si>
  <si>
    <t>Railroad Rehabilitation and Improvement Program:</t>
  </si>
  <si>
    <r>
      <rPr>
        <sz val="8"/>
        <rFont val="Arial Narrow"/>
      </rPr>
      <t>Railroad Rehabilitation and Improvement Financing Direct Loans</t>
    </r>
    <r>
      <rPr>
        <sz val="8"/>
        <rFont val="Arial Narrow"/>
      </rPr>
      <t>........................................................................................................................................................................................................</t>
    </r>
  </si>
  <si>
    <t>Maritime Administration:</t>
  </si>
  <si>
    <r>
      <rPr>
        <sz val="8"/>
        <rFont val="Arial Narrow"/>
      </rPr>
      <t>Federal Ship Financing FFB Loan Guarantees</t>
    </r>
    <r>
      <rPr>
        <sz val="8"/>
        <rFont val="Arial Narrow"/>
      </rPr>
      <t>........................................................................................................................................................................................................</t>
    </r>
  </si>
  <si>
    <t>Department of the Treasury</t>
  </si>
  <si>
    <t>Departmental Offices:</t>
  </si>
  <si>
    <t>Community Development Financial Institutions Fund:</t>
  </si>
  <si>
    <r>
      <rPr>
        <sz val="8"/>
        <rFont val="Arial Narrow"/>
      </rPr>
      <t>Bond Guarantee Program</t>
    </r>
    <r>
      <rPr>
        <sz val="8"/>
        <rFont val="Arial Narrow"/>
      </rPr>
      <t>........................................................................................................................................................................................................</t>
    </r>
  </si>
  <si>
    <r>
      <rPr>
        <sz val="8"/>
        <rFont val="Arial Narrow"/>
      </rPr>
      <t>CDFI Rural Financial Assistance Program</t>
    </r>
    <r>
      <rPr>
        <sz val="8"/>
        <rFont val="Arial Narrow"/>
      </rPr>
      <t>........................................................................................................................................................................................................</t>
    </r>
  </si>
  <si>
    <t>Department of Veterans Affairs</t>
  </si>
  <si>
    <t>Benefits Programs:</t>
  </si>
  <si>
    <t>Veterans Housing Benefit Program Fund:</t>
  </si>
  <si>
    <r>
      <rPr>
        <sz val="8"/>
        <rFont val="Arial Narrow"/>
      </rPr>
      <t>Acquired Direct Loans</t>
    </r>
    <r>
      <rPr>
        <sz val="8"/>
        <rFont val="Arial Narrow"/>
      </rPr>
      <t>........................................................................................................................................................................................................</t>
    </r>
  </si>
  <si>
    <r>
      <rPr>
        <sz val="8"/>
        <rFont val="Arial Narrow"/>
      </rPr>
      <t>Vendee Direct Loans</t>
    </r>
    <r>
      <rPr>
        <sz val="8"/>
        <rFont val="Arial Narrow"/>
      </rPr>
      <t>........................................................................................................................................................................................................</t>
    </r>
  </si>
  <si>
    <t>Native American Veteran Housing Loan:</t>
  </si>
  <si>
    <r>
      <rPr>
        <sz val="8"/>
        <rFont val="Arial Narrow"/>
      </rPr>
      <t>Native American Direct Loans</t>
    </r>
    <r>
      <rPr>
        <sz val="8"/>
        <rFont val="Arial Narrow"/>
      </rPr>
      <t>........................................................................................................................................................................................................</t>
    </r>
  </si>
  <si>
    <r>
      <rPr>
        <sz val="8"/>
        <rFont val="Arial Narrow"/>
      </rPr>
      <t>Vocational Rehabilitation</t>
    </r>
    <r>
      <rPr>
        <sz val="8"/>
        <rFont val="Arial Narrow"/>
      </rPr>
      <t>........................................................................................................................................................................................................</t>
    </r>
  </si>
  <si>
    <t>Corps of Engineers—Civil Works</t>
  </si>
  <si>
    <r>
      <rPr>
        <sz val="8"/>
        <rFont val="Arial Narrow"/>
      </rPr>
      <t>Water Infrastructure Finance and Innovation, Corps</t>
    </r>
    <r>
      <rPr>
        <sz val="8"/>
        <rFont val="Arial Narrow"/>
      </rPr>
      <t>........................................................................................................................................................................................................</t>
    </r>
  </si>
  <si>
    <t>Environmental Protection Agency</t>
  </si>
  <si>
    <r>
      <rPr>
        <sz val="8"/>
        <rFont val="Arial Narrow"/>
      </rPr>
      <t>Water Infrastructure Direct Loans</t>
    </r>
    <r>
      <rPr>
        <sz val="8"/>
        <rFont val="Arial Narrow"/>
      </rPr>
      <t>........................................................................................................................................................................................................</t>
    </r>
  </si>
  <si>
    <t>Small Business Administration</t>
  </si>
  <si>
    <t>Business Loans:</t>
  </si>
  <si>
    <r>
      <rPr>
        <sz val="8"/>
        <rFont val="Arial Narrow"/>
      </rPr>
      <t>7(m) Direct Microloans</t>
    </r>
    <r>
      <rPr>
        <sz val="8"/>
        <rFont val="Arial Narrow"/>
      </rPr>
      <t>........................................................................................................................................................................................................</t>
    </r>
  </si>
  <si>
    <t>Disaster Loans:</t>
  </si>
  <si>
    <r>
      <rPr>
        <sz val="8"/>
        <rFont val="Arial Narrow"/>
      </rPr>
      <t>Disaster Assistance Loans</t>
    </r>
    <r>
      <rPr>
        <sz val="8"/>
        <rFont val="Arial Narrow"/>
      </rPr>
      <t>........................................................................................................................................................................................................</t>
    </r>
  </si>
  <si>
    <t>Export-Import Bank of the United States</t>
  </si>
  <si>
    <t>Export-Import Bank Loans:</t>
  </si>
  <si>
    <r>
      <rPr>
        <sz val="8"/>
        <rFont val="Arial Narrow"/>
      </rPr>
      <t>Direct Loans: Export Financing</t>
    </r>
    <r>
      <rPr>
        <sz val="8"/>
        <rFont val="Arial Narrow"/>
      </rPr>
      <t>........................................................................................................................................................................................................</t>
    </r>
  </si>
  <si>
    <r>
      <rPr>
        <sz val="8"/>
        <rFont val="Arial Narrow"/>
      </rPr>
      <t>Make More In America Direct Loans</t>
    </r>
    <r>
      <rPr>
        <sz val="8"/>
        <rFont val="Arial Narrow"/>
      </rPr>
      <t>........................................................................................................................................................................................................</t>
    </r>
  </si>
  <si>
    <t>Table 2. LOAN GUARANTEES: SUBSIDY RATES, COMMITMENTS, AND AVERAGE LOAN SIZE</t>
  </si>
  <si>
    <t>Farm Ownership—Unsubsidized........................................................................................................................................................................................................</t>
  </si>
  <si>
    <t>Farm Operating—Unsubsidized........................................................................................................................................................................................................</t>
  </si>
  <si>
    <t>Commodity Credit Corporation Export Loans:</t>
  </si>
  <si>
    <r>
      <rPr>
        <sz val="8"/>
        <rFont val="Arial Narrow"/>
      </rPr>
      <t>GSM 102</t>
    </r>
    <r>
      <rPr>
        <sz val="8"/>
        <rFont val="Arial Narrow"/>
      </rPr>
      <t>........................................................................................................................................................................................................</t>
    </r>
  </si>
  <si>
    <t>Export Guarantee Program—Facilities........................................................................................................................................................................................................</t>
  </si>
  <si>
    <r>
      <rPr>
        <sz val="8"/>
        <rFont val="Arial Narrow"/>
      </rPr>
      <t>Community Facility Loan Guarantees</t>
    </r>
    <r>
      <rPr>
        <sz val="8"/>
        <rFont val="Arial Narrow"/>
      </rPr>
      <t>........................................................................................................................................................................................................</t>
    </r>
  </si>
  <si>
    <r>
      <rPr>
        <sz val="8"/>
        <rFont val="Arial Narrow"/>
      </rPr>
      <t>Guaranteed 538 Multifamily Housing</t>
    </r>
    <r>
      <rPr>
        <sz val="8"/>
        <rFont val="Arial Narrow"/>
      </rPr>
      <t>........................................................................................................................................................................................................</t>
    </r>
  </si>
  <si>
    <r>
      <rPr>
        <sz val="8"/>
        <rFont val="Arial Narrow"/>
      </rPr>
      <t>Guaranteed 502 Single Family Housing</t>
    </r>
    <r>
      <rPr>
        <sz val="8"/>
        <rFont val="Arial Narrow"/>
      </rPr>
      <t>........................................................................................................................................................................................................</t>
    </r>
  </si>
  <si>
    <t>Rural Business:</t>
  </si>
  <si>
    <r>
      <rPr>
        <sz val="8"/>
        <rFont val="Arial Narrow"/>
      </rPr>
      <t>Business and Industry Loan Guarantees</t>
    </r>
    <r>
      <rPr>
        <sz val="8"/>
        <rFont val="Arial Narrow"/>
      </rPr>
      <t>........................................................................................................................................................................................................</t>
    </r>
  </si>
  <si>
    <t>Rural Energy for America Program:</t>
  </si>
  <si>
    <r>
      <rPr>
        <sz val="8"/>
        <rFont val="Arial Narrow"/>
      </rPr>
      <t>Renewable Energy Loan Guarantees</t>
    </r>
    <r>
      <rPr>
        <sz val="8"/>
        <rFont val="Arial Narrow"/>
      </rPr>
      <t>........................................................................................................................................................................................................</t>
    </r>
  </si>
  <si>
    <r>
      <rPr>
        <sz val="8"/>
        <rFont val="Arial Narrow"/>
      </rPr>
      <t>Water and Waste Disposal Loan Guarantees</t>
    </r>
    <r>
      <rPr>
        <sz val="8"/>
        <rFont val="Arial Narrow"/>
      </rPr>
      <t>........................................................................................................................................................................................................</t>
    </r>
  </si>
  <si>
    <t>Forest Service:</t>
  </si>
  <si>
    <r>
      <rPr>
        <sz val="8"/>
        <rFont val="Arial Narrow"/>
      </rPr>
      <t>Timber Production Expansion Guarantees</t>
    </r>
    <r>
      <rPr>
        <sz val="8"/>
        <rFont val="Arial Narrow"/>
      </rPr>
      <t>........................................................................................................................................................................................................</t>
    </r>
  </si>
  <si>
    <t>Department of Health and Human Services</t>
  </si>
  <si>
    <t>Administration for a Healthy America:</t>
  </si>
  <si>
    <r>
      <rPr>
        <sz val="8"/>
        <rFont val="Arial Narrow"/>
      </rPr>
      <t>AHA Facilities Renovation Loans</t>
    </r>
    <r>
      <rPr>
        <sz val="8"/>
        <rFont val="Arial Narrow"/>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</si>
</sst>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8"/>
      <color theme="1"/>
      <name val="Arial Narrow"/>
      <family val="2"/>
    </font>
    <font>
      <b/>
      <sz val="8"/>
      <color theme="1"/>
      <name val="Arial Narrow"/>
      <family val="2"/>
    </font>
    <font>
      <b/>
      <sz val="8"/>
      <color theme="1"/>
      <name val="Aptos Narrow"/>
      <family val="2"/>
    </font>
    <font>
      <b/>
      <sz val="11"/>
      <color theme="1"/>
      <name val="Arial"/>
      <family val="2"/>
    </font>
    <font>
      <b/>
      <vertAlign val="superscript"/>
      <sz val="11"/>
      <color theme="1"/>
      <name val="Arial"/>
      <family val="2"/>
    </font>
    <font>
      <sz val="11"/>
      <color theme="1"/>
      <name val="Arial"/>
      <family val="2"/>
    </font>
    <font>
      <b/>
      <u/>
      <sz val="11"/>
      <color theme="1"/>
      <name val="Arial"/>
      <family val="2"/>
    </font>
    <font>
      <vertAlign val="superscript"/>
      <sz val="11"/>
      <color theme="1"/>
      <name val="Arial"/>
      <family val="2"/>
    </font>
    <font>
      <b/>
      <sz val="8"/>
      <name val="Arial Narrow"/>
    </font>
    <font>
      <sz val="8"/>
      <name val="Arial Narrow"/>
    </font>
    <font>
      <b/>
      <vertAlign val="superscript"/>
      <sz val="8"/>
      <name val="Arial Narrow"/>
    </font>
    <font>
      <vertAlign val="superscript"/>
      <sz val="8"/>
      <name val="Arial Narrow"/>
    </font>
    <font>
      <b/>
      <sz val="8"/>
      <name val="Arial Narrow"/>
      <family val="2"/>
    </font>
    <font>
      <vertAlign val="superscript"/>
      <sz val="8"/>
      <name val="Arial Narrow"/>
      <family val="2"/>
    </font>
    <font>
      <sz val="8"/>
      <name val="Arial Narrow"/>
      <family val="2"/>
    </font>
  </fonts>
  <fills count="2">
    <fill>
      <patternFill patternType="none"/>
    </fill>
    <fill>
      <patternFill patternType="gray125"/>
    </fill>
  </fills>
  <borders count="17">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thin">
        <color auto="1"/>
      </left>
      <right/>
      <top/>
      <bottom/>
      <diagonal/>
    </border>
    <border>
      <left style="thin">
        <color auto="1"/>
      </left>
      <right/>
      <top/>
      <bottom style="thin">
        <color auto="1"/>
      </bottom>
      <diagonal/>
    </border>
  </borders>
  <cellStyleXfs count="1">
    <xf numFmtId="0" fontId="0" fillId="0" borderId="0"/>
  </cellStyleXfs>
  <cellXfs count="90">
    <xf numFmtId="0" fontId="0" fillId="0" borderId="0" xfId="0"/>
    <xf numFmtId="0" fontId="1" fillId="0" borderId="7" xfId="0" applyFont="1" applyBorder="1" applyAlignment="1">
      <alignment horizontal="center" vertical="center" wrapText="1"/>
    </xf>
    <xf numFmtId="0" fontId="1" fillId="0" borderId="9" xfId="0" applyFont="1" applyBorder="1" applyAlignment="1">
      <alignment horizontal="center" vertical="center" wrapText="1"/>
    </xf>
    <xf numFmtId="0" fontId="4" fillId="0" borderId="0" xfId="0" applyFont="1" applyAlignment="1">
      <alignment horizontal="center" wrapText="1"/>
    </xf>
    <xf numFmtId="0" fontId="6" fillId="0" borderId="0" xfId="0" applyFont="1" applyAlignment="1">
      <alignment wrapText="1"/>
    </xf>
    <xf numFmtId="0" fontId="6" fillId="0" borderId="0" xfId="0" applyFont="1" applyAlignment="1">
      <alignment horizontal="left" wrapText="1" indent="1"/>
    </xf>
    <xf numFmtId="0" fontId="7" fillId="0" borderId="0" xfId="0" applyFont="1" applyAlignment="1">
      <alignment wrapText="1"/>
    </xf>
    <xf numFmtId="0" fontId="6" fillId="0" borderId="1" xfId="0" applyFont="1" applyBorder="1" applyAlignment="1">
      <alignment wrapText="1"/>
    </xf>
    <xf numFmtId="0" fontId="4" fillId="0" borderId="0" xfId="0" applyFont="1" applyAlignment="1">
      <alignment horizontal="center" vertical="top" wrapText="1"/>
    </xf>
    <xf numFmtId="0" fontId="6" fillId="0" borderId="0" xfId="0" applyFont="1" applyAlignment="1">
      <alignment horizontal="center" wrapText="1"/>
    </xf>
    <xf numFmtId="0" fontId="6" fillId="0" borderId="0" xfId="0" applyFont="1" applyAlignment="1">
      <alignment horizontal="left" wrapText="1"/>
    </xf>
    <xf numFmtId="0" fontId="1" fillId="0" borderId="10" xfId="0"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4" xfId="0" applyFont="1" applyBorder="1" applyAlignment="1">
      <alignment horizontal="center" vertical="center" wrapText="1"/>
    </xf>
    <xf numFmtId="0" fontId="2" fillId="0" borderId="0" xfId="0" applyFont="1" applyAlignment="1">
      <alignment horizontal="center" vertical="center"/>
    </xf>
    <xf numFmtId="0" fontId="1" fillId="0" borderId="4" xfId="0" applyFont="1" applyBorder="1" applyAlignment="1">
      <alignment horizontal="center" vertical="center"/>
    </xf>
    <xf numFmtId="0" fontId="1" fillId="0" borderId="12" xfId="0" applyFont="1" applyBorder="1" applyAlignment="1">
      <alignment horizontal="center" vertical="center" wrapText="1"/>
    </xf>
    <xf numFmtId="49" fontId="9" fillId="0" borderId="0" xfId="0" applyNumberFormat="1" applyFont="1" applyAlignment="1">
      <alignment horizontal="center"/>
    </xf>
    <xf numFmtId="49" fontId="9" fillId="0" borderId="15" xfId="0" applyNumberFormat="1" applyFont="1" applyBorder="1" applyAlignment="1">
      <alignment horizontal="center"/>
    </xf>
    <xf numFmtId="49" fontId="9" fillId="0" borderId="0" xfId="0" applyNumberFormat="1" applyFont="1" applyAlignment="1">
      <alignment horizontal="left"/>
    </xf>
    <xf numFmtId="49" fontId="9" fillId="0" borderId="15" xfId="0" applyNumberFormat="1" applyFont="1" applyBorder="1" applyAlignment="1">
      <alignment horizontal="left"/>
    </xf>
    <xf numFmtId="49" fontId="10" fillId="0" borderId="0" xfId="0" applyNumberFormat="1" applyFont="1" applyAlignment="1">
      <alignment horizontal="left" indent="1"/>
    </xf>
    <xf numFmtId="49" fontId="10" fillId="0" borderId="15" xfId="0" applyNumberFormat="1" applyFont="1" applyBorder="1" applyAlignment="1">
      <alignment horizontal="left" indent="1"/>
    </xf>
    <xf numFmtId="49" fontId="10" fillId="0" borderId="0" xfId="0" applyNumberFormat="1" applyFont="1" applyAlignment="1">
      <alignment horizontal="left" indent="2"/>
    </xf>
    <xf numFmtId="49" fontId="10" fillId="0" borderId="15" xfId="0" applyNumberFormat="1" applyFont="1" applyBorder="1" applyAlignment="1">
      <alignment horizontal="center"/>
    </xf>
    <xf numFmtId="2" fontId="10" fillId="0" borderId="15" xfId="0" applyNumberFormat="1" applyFont="1" applyBorder="1" applyAlignment="1">
      <alignment horizontal="right"/>
    </xf>
    <xf numFmtId="3" fontId="10" fillId="0" borderId="15" xfId="0" applyNumberFormat="1" applyFont="1" applyBorder="1" applyAlignment="1">
      <alignment horizontal="right"/>
    </xf>
    <xf numFmtId="49" fontId="10" fillId="0" borderId="16" xfId="0" applyNumberFormat="1" applyFont="1" applyBorder="1" applyAlignment="1">
      <alignment horizontal="left" indent="2"/>
    </xf>
    <xf numFmtId="49" fontId="10" fillId="0" borderId="16" xfId="0" applyNumberFormat="1" applyFont="1" applyBorder="1" applyAlignment="1">
      <alignment horizontal="center"/>
    </xf>
    <xf numFmtId="2" fontId="10" fillId="0" borderId="16" xfId="0" applyNumberFormat="1" applyFont="1" applyBorder="1" applyAlignment="1">
      <alignment horizontal="right"/>
    </xf>
    <xf numFmtId="3" fontId="10" fillId="0" borderId="16" xfId="0" applyNumberFormat="1" applyFont="1" applyBorder="1" applyAlignment="1">
      <alignment horizontal="right"/>
    </xf>
    <xf numFmtId="49" fontId="10" fillId="0" borderId="15" xfId="0" applyNumberFormat="1" applyFont="1" applyBorder="1" applyAlignment="1">
      <alignment horizontal="left" indent="2"/>
    </xf>
    <xf numFmtId="49" fontId="10" fillId="0" borderId="0" xfId="0" applyNumberFormat="1" applyFont="1" applyAlignment="1">
      <alignment horizontal="left" indent="3"/>
    </xf>
    <xf numFmtId="49" fontId="10" fillId="0" borderId="16" xfId="0" applyNumberFormat="1" applyFont="1" applyBorder="1" applyAlignment="1">
      <alignment horizontal="left" indent="3"/>
    </xf>
    <xf numFmtId="49" fontId="13" fillId="0" borderId="0" xfId="0" applyNumberFormat="1" applyFont="1" applyAlignment="1">
      <alignment horizontal="left"/>
    </xf>
    <xf numFmtId="0" fontId="10" fillId="0" borderId="15" xfId="0" applyNumberFormat="1" applyFont="1" applyBorder="1" applyAlignment="1">
      <alignment horizontal="right"/>
    </xf>
    <xf numFmtId="0" fontId="10" fillId="0" borderId="16" xfId="0" applyNumberFormat="1" applyFont="1" applyBorder="1" applyAlignment="1">
      <alignment horizontal="right"/>
    </xf>
    <xf numFmtId="2" fontId="1" fillId="0" borderId="6" xfId="0" applyNumberFormat="1" applyFont="1" applyBorder="1" applyAlignment="1">
      <alignment horizontal="center" vertical="center" wrapText="1"/>
    </xf>
    <xf numFmtId="2" fontId="1" fillId="0" borderId="10" xfId="0" applyNumberFormat="1" applyFont="1" applyBorder="1" applyAlignment="1">
      <alignment horizontal="center" vertical="center" wrapText="1"/>
    </xf>
    <xf numFmtId="2" fontId="9" fillId="0" borderId="15" xfId="0" applyNumberFormat="1" applyFont="1" applyBorder="1" applyAlignment="1">
      <alignment horizontal="center"/>
    </xf>
    <xf numFmtId="2" fontId="9" fillId="0" borderId="15" xfId="0" applyNumberFormat="1" applyFont="1" applyBorder="1" applyAlignment="1">
      <alignment horizontal="left"/>
    </xf>
    <xf numFmtId="2" fontId="10" fillId="0" borderId="15" xfId="0" applyNumberFormat="1" applyFont="1" applyBorder="1" applyAlignment="1">
      <alignment horizontal="left" indent="1"/>
    </xf>
    <xf numFmtId="2" fontId="0" fillId="0" borderId="0" xfId="0" applyNumberFormat="1"/>
    <xf numFmtId="1" fontId="1" fillId="0" borderId="10" xfId="0" applyNumberFormat="1" applyFont="1" applyBorder="1" applyAlignment="1">
      <alignment horizontal="center" vertical="center" wrapText="1"/>
    </xf>
    <xf numFmtId="1" fontId="9" fillId="0" borderId="15" xfId="0" applyNumberFormat="1" applyFont="1" applyBorder="1" applyAlignment="1">
      <alignment horizontal="center"/>
    </xf>
    <xf numFmtId="1" fontId="9" fillId="0" borderId="15" xfId="0" applyNumberFormat="1" applyFont="1" applyBorder="1" applyAlignment="1">
      <alignment horizontal="left"/>
    </xf>
    <xf numFmtId="1" fontId="10" fillId="0" borderId="15" xfId="0" applyNumberFormat="1" applyFont="1" applyBorder="1" applyAlignment="1">
      <alignment horizontal="left" indent="1"/>
    </xf>
    <xf numFmtId="1" fontId="10" fillId="0" borderId="15" xfId="0" applyNumberFormat="1" applyFont="1" applyBorder="1" applyAlignment="1">
      <alignment horizontal="right"/>
    </xf>
    <xf numFmtId="1" fontId="10" fillId="0" borderId="16" xfId="0" applyNumberFormat="1" applyFont="1" applyBorder="1" applyAlignment="1">
      <alignment horizontal="right"/>
    </xf>
    <xf numFmtId="1" fontId="0" fillId="0" borderId="0" xfId="0" applyNumberFormat="1"/>
    <xf numFmtId="2" fontId="1" fillId="0" borderId="5" xfId="0" applyNumberFormat="1" applyFont="1" applyBorder="1" applyAlignment="1">
      <alignment horizontal="center" vertical="center" wrapText="1"/>
    </xf>
    <xf numFmtId="2" fontId="1" fillId="0" borderId="3" xfId="0" applyNumberFormat="1" applyFont="1" applyBorder="1" applyAlignment="1">
      <alignment horizontal="center" vertical="center" wrapText="1"/>
    </xf>
    <xf numFmtId="2" fontId="1" fillId="0" borderId="4" xfId="0" applyNumberFormat="1" applyFont="1" applyBorder="1" applyAlignment="1">
      <alignment horizontal="center" vertical="center" wrapText="1"/>
    </xf>
    <xf numFmtId="2" fontId="9" fillId="0" borderId="15" xfId="0" applyNumberFormat="1" applyFont="1" applyBorder="1" applyAlignment="1">
      <alignment horizontal="center" vertical="center" wrapText="1"/>
    </xf>
    <xf numFmtId="2" fontId="1" fillId="0" borderId="12" xfId="0" applyNumberFormat="1" applyFont="1" applyBorder="1" applyAlignment="1">
      <alignment horizontal="center" vertical="center" wrapText="1"/>
    </xf>
    <xf numFmtId="2" fontId="10" fillId="0" borderId="15" xfId="0" applyNumberFormat="1" applyFont="1" applyBorder="1" applyAlignment="1">
      <alignment horizontal="left" indent="2"/>
    </xf>
    <xf numFmtId="3" fontId="15" fillId="0" borderId="15" xfId="0" quotePrefix="1" applyNumberFormat="1" applyFont="1" applyBorder="1" applyAlignment="1">
      <alignment horizontal="right"/>
    </xf>
    <xf numFmtId="3" fontId="15" fillId="0" borderId="15" xfId="0" applyNumberFormat="1" applyFont="1" applyBorder="1" applyAlignment="1">
      <alignment horizontal="right"/>
    </xf>
    <xf numFmtId="2" fontId="15" fillId="0" borderId="15" xfId="0" applyNumberFormat="1" applyFont="1" applyBorder="1" applyAlignment="1">
      <alignment horizontal="right"/>
    </xf>
    <xf numFmtId="0" fontId="0" fillId="0" borderId="0" xfId="0"/>
    <xf numFmtId="0" fontId="1" fillId="0" borderId="11" xfId="0" applyFont="1" applyBorder="1" applyAlignment="1">
      <alignment horizontal="center" vertical="center" wrapText="1"/>
    </xf>
    <xf numFmtId="0" fontId="0" fillId="0" borderId="5" xfId="0" applyBorder="1"/>
    <xf numFmtId="0" fontId="3" fillId="0" borderId="0" xfId="0" applyFont="1" applyAlignment="1">
      <alignment horizontal="center" vertical="center"/>
    </xf>
    <xf numFmtId="0" fontId="0" fillId="0" borderId="0" xfId="0"/>
    <xf numFmtId="0" fontId="1" fillId="0" borderId="12" xfId="0" applyFont="1" applyBorder="1" applyAlignment="1">
      <alignment horizontal="center" vertical="center" wrapText="1"/>
    </xf>
    <xf numFmtId="0" fontId="0" fillId="0" borderId="6" xfId="0" applyBorder="1"/>
    <xf numFmtId="0" fontId="0" fillId="0" borderId="2" xfId="0" applyBorder="1"/>
    <xf numFmtId="0" fontId="0" fillId="0" borderId="11" xfId="0" applyBorder="1"/>
    <xf numFmtId="0" fontId="1" fillId="0" borderId="4" xfId="0" applyFont="1" applyBorder="1" applyAlignment="1">
      <alignment horizontal="center" vertical="center" wrapText="1"/>
    </xf>
    <xf numFmtId="49" fontId="10" fillId="0" borderId="0" xfId="0" applyNumberFormat="1" applyFont="1" applyAlignment="1">
      <alignment horizontal="left" wrapText="1"/>
    </xf>
    <xf numFmtId="2" fontId="1" fillId="0" borderId="12" xfId="0" applyNumberFormat="1" applyFont="1" applyBorder="1" applyAlignment="1">
      <alignment horizontal="center" vertical="center" wrapText="1"/>
    </xf>
    <xf numFmtId="2" fontId="0" fillId="0" borderId="2" xfId="0" applyNumberFormat="1" applyBorder="1"/>
    <xf numFmtId="2" fontId="0" fillId="0" borderId="11" xfId="0" applyNumberFormat="1" applyBorder="1"/>
    <xf numFmtId="2" fontId="0" fillId="0" borderId="6" xfId="0" applyNumberFormat="1" applyBorder="1"/>
    <xf numFmtId="0" fontId="3" fillId="0" borderId="3" xfId="0" applyFont="1" applyBorder="1" applyAlignment="1">
      <alignment horizontal="center" vertical="center"/>
    </xf>
    <xf numFmtId="0" fontId="0" fillId="0" borderId="3" xfId="0" applyBorder="1"/>
    <xf numFmtId="0" fontId="3" fillId="0" borderId="0" xfId="0" applyFont="1" applyAlignment="1">
      <alignment horizontal="center"/>
    </xf>
    <xf numFmtId="2" fontId="1" fillId="0" borderId="4" xfId="0" applyNumberFormat="1" applyFont="1" applyBorder="1" applyAlignment="1">
      <alignment horizontal="center" vertical="center" wrapText="1"/>
    </xf>
    <xf numFmtId="49" fontId="9" fillId="0" borderId="0" xfId="0" applyNumberFormat="1" applyFont="1" applyAlignment="1">
      <alignment horizontal="center" vertical="center"/>
    </xf>
    <xf numFmtId="0" fontId="1" fillId="0" borderId="8" xfId="0" applyFont="1" applyBorder="1" applyAlignment="1">
      <alignment horizontal="center" vertical="center" wrapText="1"/>
    </xf>
    <xf numFmtId="0" fontId="0" fillId="0" borderId="1" xfId="0" applyBorder="1"/>
    <xf numFmtId="0" fontId="1" fillId="0" borderId="13" xfId="0" applyFont="1" applyBorder="1" applyAlignment="1">
      <alignment horizontal="center" vertical="center" wrapText="1"/>
    </xf>
    <xf numFmtId="0" fontId="0" fillId="0" borderId="14" xfId="0" applyBorder="1"/>
    <xf numFmtId="0" fontId="2" fillId="0" borderId="0" xfId="0" applyFont="1" applyAlignment="1">
      <alignment horizontal="center" vertical="center"/>
    </xf>
    <xf numFmtId="0" fontId="0" fillId="0" borderId="0" xfId="0" applyAlignment="1">
      <alignment wrapText="1"/>
    </xf>
    <xf numFmtId="0" fontId="2" fillId="0" borderId="0" xfId="0" applyFont="1" applyAlignment="1">
      <alignment horizontal="center"/>
    </xf>
    <xf numFmtId="0" fontId="1" fillId="0" borderId="2" xfId="0" applyFont="1" applyBorder="1" applyAlignment="1">
      <alignment horizontal="center" vertical="center"/>
    </xf>
    <xf numFmtId="0" fontId="1"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 Type="http://schemas.openxmlformats.org/officeDocument/2006/relationships/worksheet" Target="worksheets/sheet1.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workbookViewId="0">
      <selection activeCell="A5" sqref="A5"/>
    </sheetView>
  </sheetViews>
  <sheetFormatPr defaultRowHeight="14.25"/>
  <cols>
    <col min="1" max="1" width="160.73046875" style="9" customWidth="1"/>
  </cols>
  <sheetData>
    <row r="1" spans="1:1">
      <c r="A1" s="8" t="s">
        <v>0</v>
      </c>
    </row>
    <row r="3" spans="1:1" ht="43.5" customHeight="1">
      <c r="A3" s="10" t="s">
        <v>1</v>
      </c>
    </row>
    <row r="5" spans="1:1" ht="72" customHeight="1">
      <c r="A5" s="10" t="s">
        <v>2</v>
      </c>
    </row>
    <row r="7" spans="1:1" ht="86.25" customHeight="1">
      <c r="A7" s="10" t="s">
        <v>3</v>
      </c>
    </row>
    <row r="9" spans="1:1" ht="86.25" customHeight="1">
      <c r="A9" s="10" t="s">
        <v>4</v>
      </c>
    </row>
    <row r="11" spans="1:1">
      <c r="A11" s="10" t="s">
        <v>5</v>
      </c>
    </row>
    <row r="13" spans="1:1">
      <c r="A13" s="10" t="str">
        <f>TEXT("Electronic versions of the Supplement in both PDF and Excel formats are available at ","@") &amp;HYPERLINK("https://www.whitehouse.gov/omb/supplemental-materials/") &amp;"."</f>
        <v>Electronic versions of the Supplement in both PDF and Excel formats are available at https://www.whitehouse.gov/omb/supplemental-materials/.</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38"/>
  <sheetViews>
    <sheetView workbookViewId="0">
      <pane xSplit="1" ySplit="4" topLeftCell="B5" activePane="bottomRight" state="frozen"/>
      <selection pane="topRight" activeCell="B1" sqref="B1"/>
      <selection pane="bottomLeft" activeCell="A5" sqref="A5"/>
      <selection pane="bottomRight" activeCell="A5" sqref="A5"/>
    </sheetView>
  </sheetViews>
  <sheetFormatPr defaultRowHeight="14.25"/>
  <cols>
    <col min="1" max="1" width="36.73046875" customWidth="1"/>
    <col min="2" max="8" width="10.73046875" customWidth="1"/>
  </cols>
  <sheetData>
    <row r="1" spans="1:11">
      <c r="A1" s="64" t="s">
        <v>6</v>
      </c>
      <c r="B1" s="65"/>
      <c r="C1" s="65"/>
      <c r="D1" s="65"/>
      <c r="E1" s="65"/>
      <c r="F1" s="65"/>
      <c r="G1" s="65"/>
      <c r="H1" s="65"/>
    </row>
    <row r="2" spans="1:11">
      <c r="A2" s="64" t="s">
        <v>7</v>
      </c>
      <c r="B2" s="65"/>
      <c r="C2" s="65"/>
      <c r="D2" s="65"/>
      <c r="E2" s="65"/>
      <c r="F2" s="65"/>
      <c r="G2" s="65"/>
      <c r="H2" s="65"/>
    </row>
    <row r="3" spans="1:11">
      <c r="A3" s="62" t="s">
        <v>8</v>
      </c>
      <c r="B3" s="66" t="s">
        <v>9</v>
      </c>
      <c r="C3" s="66">
        <v>2026</v>
      </c>
      <c r="D3" s="68"/>
      <c r="E3" s="69"/>
      <c r="F3" s="70">
        <v>2027</v>
      </c>
      <c r="G3" s="68"/>
      <c r="H3" s="68"/>
    </row>
    <row r="4" spans="1:11" ht="25.5" customHeight="1">
      <c r="A4" s="63"/>
      <c r="B4" s="67"/>
      <c r="C4" s="15" t="s">
        <v>10</v>
      </c>
      <c r="D4" s="15" t="s">
        <v>11</v>
      </c>
      <c r="E4" s="15" t="s">
        <v>12</v>
      </c>
      <c r="F4" s="15" t="s">
        <v>10</v>
      </c>
      <c r="G4" s="15" t="s">
        <v>11</v>
      </c>
      <c r="H4" s="15" t="s">
        <v>12</v>
      </c>
    </row>
    <row r="5" spans="1:11" ht="19.5" customHeight="1">
      <c r="A5" s="19" t="s">
        <v>13</v>
      </c>
      <c r="B5" s="20"/>
      <c r="C5" s="20"/>
      <c r="D5" s="20"/>
      <c r="E5" s="20"/>
      <c r="F5" s="20"/>
      <c r="G5" s="20"/>
      <c r="H5" s="20"/>
    </row>
    <row r="6" spans="1:11" ht="16.5" customHeight="1">
      <c r="A6" s="36" t="s">
        <v>14</v>
      </c>
      <c r="B6" s="22"/>
      <c r="C6" s="22"/>
      <c r="D6" s="22"/>
      <c r="E6" s="22"/>
      <c r="F6" s="22"/>
      <c r="G6" s="22"/>
      <c r="H6" s="22"/>
    </row>
    <row r="7" spans="1:11" ht="13.05" customHeight="1">
      <c r="A7" s="23" t="s">
        <v>15</v>
      </c>
      <c r="B7" s="24"/>
      <c r="C7" s="24"/>
      <c r="D7" s="24"/>
      <c r="E7" s="24"/>
      <c r="F7" s="24"/>
      <c r="G7" s="24"/>
      <c r="H7" s="24"/>
    </row>
    <row r="8" spans="1:11" ht="13.05" customHeight="1">
      <c r="A8" s="25" t="s">
        <v>16</v>
      </c>
      <c r="B8" s="26" t="s">
        <v>17</v>
      </c>
      <c r="C8" s="37">
        <v>1.27</v>
      </c>
      <c r="D8" s="28">
        <v>2580000</v>
      </c>
      <c r="E8" s="37">
        <v>301</v>
      </c>
      <c r="F8" s="37">
        <v>2.4700000000000002</v>
      </c>
      <c r="G8" s="28">
        <v>1241992</v>
      </c>
      <c r="H8" s="37">
        <v>304</v>
      </c>
      <c r="K8" s="16"/>
    </row>
    <row r="9" spans="1:11" ht="13.05" customHeight="1">
      <c r="A9" s="25" t="s">
        <v>18</v>
      </c>
      <c r="B9" s="26" t="s">
        <v>17</v>
      </c>
      <c r="C9" s="37">
        <v>-0.81</v>
      </c>
      <c r="D9" s="28">
        <v>1633000</v>
      </c>
      <c r="E9" s="37">
        <v>91</v>
      </c>
      <c r="F9" s="37">
        <v>-0.55000000000000004</v>
      </c>
      <c r="G9" s="28">
        <v>1633000</v>
      </c>
      <c r="H9" s="37">
        <v>96</v>
      </c>
    </row>
    <row r="10" spans="1:11" ht="13.05" customHeight="1">
      <c r="A10" s="25" t="s">
        <v>19</v>
      </c>
      <c r="B10" s="26" t="s">
        <v>17</v>
      </c>
      <c r="C10" s="37">
        <v>6.95</v>
      </c>
      <c r="D10" s="28">
        <v>50000</v>
      </c>
      <c r="E10" s="37">
        <v>461</v>
      </c>
      <c r="F10" s="37">
        <v>7.38</v>
      </c>
      <c r="G10" s="28">
        <v>50000</v>
      </c>
      <c r="H10" s="37">
        <v>563</v>
      </c>
    </row>
    <row r="11" spans="1:11" ht="13.05" customHeight="1">
      <c r="A11" s="23" t="s">
        <v>20</v>
      </c>
      <c r="B11" s="24"/>
      <c r="C11" s="24"/>
      <c r="D11" s="24"/>
      <c r="E11" s="24"/>
      <c r="F11" s="24"/>
      <c r="G11" s="24"/>
      <c r="H11" s="24"/>
    </row>
    <row r="12" spans="1:11" ht="13.05" customHeight="1">
      <c r="A12" s="25" t="s">
        <v>21</v>
      </c>
      <c r="B12" s="26" t="s">
        <v>22</v>
      </c>
      <c r="C12" s="37">
        <v>-0.17</v>
      </c>
      <c r="D12" s="28">
        <v>500000</v>
      </c>
      <c r="E12" s="37">
        <v>148</v>
      </c>
      <c r="F12" s="37">
        <v>-0.51</v>
      </c>
      <c r="G12" s="28">
        <v>500000</v>
      </c>
      <c r="H12" s="28">
        <v>150000</v>
      </c>
    </row>
    <row r="13" spans="1:11" ht="13.05" customHeight="1">
      <c r="A13" s="25" t="s">
        <v>23</v>
      </c>
      <c r="B13" s="26" t="s">
        <v>22</v>
      </c>
      <c r="C13" s="37">
        <v>-0.39</v>
      </c>
      <c r="D13" s="28">
        <v>68500</v>
      </c>
      <c r="E13" s="28">
        <v>15000</v>
      </c>
      <c r="F13" s="37">
        <v>-1.2</v>
      </c>
      <c r="G13" s="28">
        <v>68500</v>
      </c>
      <c r="H13" s="28">
        <v>15000</v>
      </c>
    </row>
    <row r="14" spans="1:11" ht="14" customHeight="1">
      <c r="A14" s="21" t="s">
        <v>24</v>
      </c>
      <c r="B14" s="22"/>
      <c r="C14" s="22"/>
      <c r="D14" s="22"/>
      <c r="E14" s="22"/>
      <c r="F14" s="22"/>
      <c r="G14" s="22"/>
      <c r="H14" s="22"/>
    </row>
    <row r="15" spans="1:11" ht="13.05" customHeight="1">
      <c r="A15" s="23" t="s">
        <v>25</v>
      </c>
      <c r="B15" s="24"/>
      <c r="C15" s="24"/>
      <c r="D15" s="24"/>
      <c r="E15" s="24"/>
      <c r="F15" s="24"/>
      <c r="G15" s="24"/>
      <c r="H15" s="24"/>
    </row>
    <row r="16" spans="1:11" ht="13.05" customHeight="1">
      <c r="A16" s="25" t="s">
        <v>26</v>
      </c>
      <c r="B16" s="26" t="s">
        <v>17</v>
      </c>
      <c r="C16" s="37">
        <v>-3.53</v>
      </c>
      <c r="D16" s="28">
        <v>1250000</v>
      </c>
      <c r="E16" s="28">
        <v>3740</v>
      </c>
      <c r="F16" s="37">
        <v>-1.37</v>
      </c>
      <c r="G16" s="28">
        <v>1250000</v>
      </c>
      <c r="H16" s="28">
        <v>5892</v>
      </c>
    </row>
    <row r="17" spans="1:8" ht="13.05" customHeight="1">
      <c r="A17" s="23" t="s">
        <v>27</v>
      </c>
      <c r="B17" s="24"/>
      <c r="C17" s="24"/>
      <c r="D17" s="24"/>
      <c r="E17" s="24"/>
      <c r="F17" s="24"/>
      <c r="G17" s="24"/>
      <c r="H17" s="24"/>
    </row>
    <row r="18" spans="1:8" ht="13.05" customHeight="1">
      <c r="A18" s="25" t="s">
        <v>28</v>
      </c>
      <c r="B18" s="26" t="s">
        <v>17</v>
      </c>
      <c r="C18" s="37">
        <v>13.06</v>
      </c>
      <c r="D18" s="28">
        <v>939288</v>
      </c>
      <c r="E18" s="37">
        <v>280</v>
      </c>
      <c r="F18" s="37">
        <v>13.29</v>
      </c>
      <c r="G18" s="28">
        <v>1058939</v>
      </c>
      <c r="H18" s="37">
        <v>288</v>
      </c>
    </row>
    <row r="19" spans="1:8" ht="13.05" customHeight="1">
      <c r="A19" s="25" t="s">
        <v>29</v>
      </c>
      <c r="B19" s="26" t="s">
        <v>17</v>
      </c>
      <c r="C19" s="37">
        <v>30.26</v>
      </c>
      <c r="D19" s="28">
        <v>30000</v>
      </c>
      <c r="E19" s="28">
        <v>2733</v>
      </c>
      <c r="F19" s="37">
        <v>33.28</v>
      </c>
      <c r="G19" s="28">
        <v>38251</v>
      </c>
      <c r="H19" s="28">
        <v>2311</v>
      </c>
    </row>
    <row r="20" spans="1:8" ht="13.05" customHeight="1">
      <c r="A20" s="25" t="s">
        <v>30</v>
      </c>
      <c r="B20" s="26" t="s">
        <v>17</v>
      </c>
      <c r="C20" s="37">
        <v>17.329999999999998</v>
      </c>
      <c r="D20" s="28">
        <v>23751</v>
      </c>
      <c r="E20" s="37">
        <v>9</v>
      </c>
      <c r="F20" s="37">
        <v>17.079999999999998</v>
      </c>
      <c r="G20" s="28">
        <v>25000</v>
      </c>
      <c r="H20" s="37">
        <v>10</v>
      </c>
    </row>
    <row r="21" spans="1:8" ht="13.05" customHeight="1">
      <c r="A21" s="25" t="s">
        <v>31</v>
      </c>
      <c r="B21" s="26" t="s">
        <v>17</v>
      </c>
      <c r="C21" s="37">
        <v>31.74</v>
      </c>
      <c r="D21" s="28">
        <v>43904</v>
      </c>
      <c r="E21" s="28">
        <v>2246</v>
      </c>
      <c r="F21" s="37">
        <v>33.71</v>
      </c>
      <c r="G21" s="28">
        <v>16001</v>
      </c>
      <c r="H21" s="28">
        <v>2311</v>
      </c>
    </row>
    <row r="22" spans="1:8" ht="13.05" customHeight="1">
      <c r="A22" s="25" t="s">
        <v>32</v>
      </c>
      <c r="B22" s="26" t="s">
        <v>17</v>
      </c>
      <c r="C22" s="37">
        <v>10.039999999999999</v>
      </c>
      <c r="D22" s="28">
        <v>1265</v>
      </c>
      <c r="E22" s="37">
        <v>742</v>
      </c>
      <c r="F22" s="27" t="s">
        <v>33</v>
      </c>
      <c r="G22" s="28" t="s">
        <v>33</v>
      </c>
      <c r="H22" s="28" t="s">
        <v>33</v>
      </c>
    </row>
    <row r="23" spans="1:8" ht="13.05" customHeight="1">
      <c r="A23" s="25" t="s">
        <v>34</v>
      </c>
      <c r="B23" s="26" t="s">
        <v>17</v>
      </c>
      <c r="C23" s="37">
        <v>13.13</v>
      </c>
      <c r="D23" s="37">
        <v>762</v>
      </c>
      <c r="E23" s="37">
        <v>301</v>
      </c>
      <c r="F23" s="27" t="s">
        <v>33</v>
      </c>
      <c r="G23" s="28" t="s">
        <v>33</v>
      </c>
      <c r="H23" s="28" t="s">
        <v>33</v>
      </c>
    </row>
    <row r="24" spans="1:8" ht="13.05" customHeight="1">
      <c r="A24" s="25" t="s">
        <v>35</v>
      </c>
      <c r="B24" s="26" t="s">
        <v>17</v>
      </c>
      <c r="C24" s="37">
        <v>-1.53</v>
      </c>
      <c r="D24" s="37">
        <v>500</v>
      </c>
      <c r="E24" s="37">
        <v>42</v>
      </c>
      <c r="F24" s="37">
        <v>-2.99</v>
      </c>
      <c r="G24" s="28">
        <v>10000</v>
      </c>
      <c r="H24" s="37">
        <v>43</v>
      </c>
    </row>
    <row r="25" spans="1:8" ht="13.05" customHeight="1">
      <c r="A25" s="25" t="s">
        <v>36</v>
      </c>
      <c r="B25" s="26" t="s">
        <v>17</v>
      </c>
      <c r="C25" s="37">
        <v>59.86</v>
      </c>
      <c r="D25" s="28">
        <v>45000</v>
      </c>
      <c r="E25" s="28">
        <v>1211</v>
      </c>
      <c r="F25" s="37">
        <v>64.709999999999994</v>
      </c>
      <c r="G25" s="28">
        <v>20862</v>
      </c>
      <c r="H25" s="28">
        <v>1246</v>
      </c>
    </row>
    <row r="26" spans="1:8" ht="13.05" customHeight="1">
      <c r="A26" s="25" t="s">
        <v>37</v>
      </c>
      <c r="B26" s="26" t="s">
        <v>17</v>
      </c>
      <c r="C26" s="37">
        <v>53.15</v>
      </c>
      <c r="D26" s="28">
        <v>38000</v>
      </c>
      <c r="E26" s="28">
        <v>1623</v>
      </c>
      <c r="F26" s="37">
        <v>55.28</v>
      </c>
      <c r="G26" s="28">
        <v>27135</v>
      </c>
      <c r="H26" s="28">
        <v>1670</v>
      </c>
    </row>
    <row r="27" spans="1:8" ht="13.05" customHeight="1">
      <c r="A27" s="25" t="s">
        <v>38</v>
      </c>
      <c r="B27" s="26" t="s">
        <v>17</v>
      </c>
      <c r="C27" s="37">
        <v>42.5</v>
      </c>
      <c r="D27" s="28">
        <v>5000</v>
      </c>
      <c r="E27" s="37">
        <v>681</v>
      </c>
      <c r="F27" s="27" t="s">
        <v>33</v>
      </c>
      <c r="G27" s="28" t="s">
        <v>33</v>
      </c>
      <c r="H27" s="28" t="s">
        <v>33</v>
      </c>
    </row>
    <row r="28" spans="1:8" ht="14" customHeight="1">
      <c r="A28" s="21" t="s">
        <v>39</v>
      </c>
      <c r="B28" s="22"/>
      <c r="C28" s="22"/>
      <c r="D28" s="22"/>
      <c r="E28" s="22"/>
      <c r="F28" s="22"/>
      <c r="G28" s="22"/>
      <c r="H28" s="22"/>
    </row>
    <row r="29" spans="1:8" ht="13.05" customHeight="1">
      <c r="A29" s="23" t="s">
        <v>40</v>
      </c>
      <c r="B29" s="24"/>
      <c r="C29" s="24"/>
      <c r="D29" s="24"/>
      <c r="E29" s="24"/>
      <c r="F29" s="24"/>
      <c r="G29" s="24"/>
      <c r="H29" s="24"/>
    </row>
    <row r="30" spans="1:8" ht="13.05" customHeight="1">
      <c r="A30" s="25" t="s">
        <v>41</v>
      </c>
      <c r="B30" s="26" t="s">
        <v>17</v>
      </c>
      <c r="C30" s="37">
        <v>16.09</v>
      </c>
      <c r="D30" s="28">
        <v>15021</v>
      </c>
      <c r="E30" s="37">
        <v>366</v>
      </c>
      <c r="F30" s="27" t="s">
        <v>33</v>
      </c>
      <c r="G30" s="28" t="s">
        <v>33</v>
      </c>
      <c r="H30" s="28" t="s">
        <v>33</v>
      </c>
    </row>
    <row r="31" spans="1:8" ht="13.05" customHeight="1">
      <c r="A31" s="23" t="s">
        <v>42</v>
      </c>
      <c r="B31" s="24"/>
      <c r="C31" s="24"/>
      <c r="D31" s="24"/>
      <c r="E31" s="24"/>
      <c r="F31" s="24"/>
      <c r="G31" s="24"/>
      <c r="H31" s="24"/>
    </row>
    <row r="32" spans="1:8" ht="13.05" customHeight="1">
      <c r="A32" s="25" t="s">
        <v>43</v>
      </c>
      <c r="B32" s="26" t="s">
        <v>17</v>
      </c>
      <c r="C32" s="37">
        <v>27.72</v>
      </c>
      <c r="D32" s="28">
        <v>9002</v>
      </c>
      <c r="E32" s="37">
        <v>569</v>
      </c>
      <c r="F32" s="27" t="s">
        <v>33</v>
      </c>
      <c r="G32" s="28" t="s">
        <v>33</v>
      </c>
      <c r="H32" s="28" t="s">
        <v>33</v>
      </c>
    </row>
    <row r="33" spans="1:8" ht="13.05" customHeight="1">
      <c r="A33" s="23" t="s">
        <v>44</v>
      </c>
      <c r="B33" s="24"/>
      <c r="C33" s="24"/>
      <c r="D33" s="24"/>
      <c r="E33" s="24"/>
      <c r="F33" s="24"/>
      <c r="G33" s="24"/>
      <c r="H33" s="24"/>
    </row>
    <row r="34" spans="1:8" ht="13.05" customHeight="1">
      <c r="A34" s="25" t="s">
        <v>45</v>
      </c>
      <c r="B34" s="26" t="s">
        <v>22</v>
      </c>
      <c r="C34" s="37">
        <v>16.850000000000001</v>
      </c>
      <c r="D34" s="28">
        <v>53527</v>
      </c>
      <c r="E34" s="28">
        <v>1056</v>
      </c>
      <c r="F34" s="37">
        <v>16.809999999999999</v>
      </c>
      <c r="G34" s="28">
        <v>50000</v>
      </c>
      <c r="H34" s="28">
        <v>1087</v>
      </c>
    </row>
    <row r="35" spans="1:8" ht="14" customHeight="1">
      <c r="A35" s="21" t="s">
        <v>46</v>
      </c>
      <c r="B35" s="22"/>
      <c r="C35" s="22"/>
      <c r="D35" s="22"/>
      <c r="E35" s="22"/>
      <c r="F35" s="22"/>
      <c r="G35" s="22"/>
      <c r="H35" s="22"/>
    </row>
    <row r="36" spans="1:8" ht="13.05" customHeight="1">
      <c r="A36" s="23" t="s">
        <v>47</v>
      </c>
      <c r="B36" s="24"/>
      <c r="C36" s="24"/>
      <c r="D36" s="24"/>
      <c r="E36" s="24"/>
      <c r="F36" s="24"/>
      <c r="G36" s="24"/>
      <c r="H36" s="24"/>
    </row>
    <row r="37" spans="1:8" ht="13.05" customHeight="1">
      <c r="A37" s="25" t="s">
        <v>48</v>
      </c>
      <c r="B37" s="26" t="s">
        <v>17</v>
      </c>
      <c r="C37" s="37">
        <v>4.76</v>
      </c>
      <c r="D37" s="28">
        <v>1004540</v>
      </c>
      <c r="E37" s="28">
        <v>3926</v>
      </c>
      <c r="F37" s="37">
        <v>7.16</v>
      </c>
      <c r="G37" s="28">
        <v>843953</v>
      </c>
      <c r="H37" s="28">
        <v>4040</v>
      </c>
    </row>
    <row r="38" spans="1:8" ht="13.05" customHeight="1">
      <c r="A38" s="25" t="s">
        <v>49</v>
      </c>
      <c r="B38" s="26" t="s">
        <v>17</v>
      </c>
      <c r="C38" s="37">
        <v>25.84</v>
      </c>
      <c r="D38" s="28">
        <v>15000</v>
      </c>
      <c r="E38" s="28">
        <v>2916</v>
      </c>
      <c r="F38" s="27" t="s">
        <v>33</v>
      </c>
      <c r="G38" s="28" t="s">
        <v>33</v>
      </c>
      <c r="H38" s="28" t="s">
        <v>33</v>
      </c>
    </row>
    <row r="39" spans="1:8" ht="13.05" customHeight="1">
      <c r="A39" s="23" t="s">
        <v>50</v>
      </c>
      <c r="B39" s="24"/>
      <c r="C39" s="24"/>
      <c r="D39" s="24"/>
      <c r="E39" s="24"/>
      <c r="F39" s="24"/>
      <c r="G39" s="24"/>
      <c r="H39" s="24"/>
    </row>
    <row r="40" spans="1:8" ht="13.05" customHeight="1">
      <c r="A40" s="25" t="s">
        <v>51</v>
      </c>
      <c r="B40" s="26" t="s">
        <v>17</v>
      </c>
      <c r="C40" s="37">
        <v>-1.04</v>
      </c>
      <c r="D40" s="28">
        <v>4133000</v>
      </c>
      <c r="E40" s="28">
        <v>76338</v>
      </c>
      <c r="F40" s="37">
        <v>-1.93</v>
      </c>
      <c r="G40" s="28">
        <v>4533000</v>
      </c>
      <c r="H40" s="28">
        <v>78552</v>
      </c>
    </row>
    <row r="41" spans="1:8" ht="13.05" customHeight="1">
      <c r="A41" s="25" t="s">
        <v>52</v>
      </c>
      <c r="B41" s="26" t="s">
        <v>17</v>
      </c>
      <c r="C41" s="37">
        <v>-4.42</v>
      </c>
      <c r="D41" s="28">
        <v>2667000</v>
      </c>
      <c r="E41" s="28">
        <v>139449</v>
      </c>
      <c r="F41" s="37">
        <v>-5.04</v>
      </c>
      <c r="G41" s="28">
        <v>2867000</v>
      </c>
      <c r="H41" s="28">
        <v>124651</v>
      </c>
    </row>
    <row r="42" spans="1:8" ht="13.05" customHeight="1">
      <c r="A42" s="25" t="s">
        <v>53</v>
      </c>
      <c r="B42" s="26" t="s">
        <v>17</v>
      </c>
      <c r="C42" s="37">
        <v>1.02</v>
      </c>
      <c r="D42" s="28">
        <v>350000</v>
      </c>
      <c r="E42" s="28">
        <v>13927</v>
      </c>
      <c r="F42" s="27" t="s">
        <v>33</v>
      </c>
      <c r="G42" s="28" t="s">
        <v>33</v>
      </c>
      <c r="H42" s="28" t="s">
        <v>33</v>
      </c>
    </row>
    <row r="43" spans="1:8" ht="13.05" customHeight="1">
      <c r="A43" s="25" t="s">
        <v>54</v>
      </c>
      <c r="B43" s="26" t="s">
        <v>17</v>
      </c>
      <c r="C43" s="37">
        <v>-3</v>
      </c>
      <c r="D43" s="28">
        <v>200000</v>
      </c>
      <c r="E43" s="28">
        <v>5606</v>
      </c>
      <c r="F43" s="37">
        <v>-2.95</v>
      </c>
      <c r="G43" s="28">
        <v>200000</v>
      </c>
      <c r="H43" s="28">
        <v>5606</v>
      </c>
    </row>
    <row r="44" spans="1:8" ht="13.05" customHeight="1">
      <c r="A44" s="25" t="s">
        <v>55</v>
      </c>
      <c r="B44" s="26" t="s">
        <v>17</v>
      </c>
      <c r="C44" s="37">
        <v>16.8</v>
      </c>
      <c r="D44" s="28">
        <v>36905</v>
      </c>
      <c r="E44" s="28">
        <v>10290</v>
      </c>
      <c r="F44" s="27" t="s">
        <v>33</v>
      </c>
      <c r="G44" s="28" t="s">
        <v>33</v>
      </c>
      <c r="H44" s="28" t="s">
        <v>33</v>
      </c>
    </row>
    <row r="45" spans="1:8" ht="13.05" customHeight="1">
      <c r="A45" s="25" t="s">
        <v>56</v>
      </c>
      <c r="B45" s="26" t="s">
        <v>17</v>
      </c>
      <c r="C45" s="37">
        <v>-2.48</v>
      </c>
      <c r="D45" s="28">
        <v>200000</v>
      </c>
      <c r="E45" s="28">
        <v>129999</v>
      </c>
      <c r="F45" s="27" t="s">
        <v>33</v>
      </c>
      <c r="G45" s="28" t="s">
        <v>33</v>
      </c>
      <c r="H45" s="28" t="s">
        <v>33</v>
      </c>
    </row>
    <row r="46" spans="1:8" ht="13.05" customHeight="1">
      <c r="A46" s="25" t="s">
        <v>57</v>
      </c>
      <c r="B46" s="26" t="s">
        <v>17</v>
      </c>
      <c r="C46" s="37">
        <v>36.729999999999997</v>
      </c>
      <c r="D46" s="28">
        <v>1117917</v>
      </c>
      <c r="E46" s="28">
        <v>19506</v>
      </c>
      <c r="F46" s="27" t="s">
        <v>33</v>
      </c>
      <c r="G46" s="28" t="s">
        <v>33</v>
      </c>
      <c r="H46" s="28" t="s">
        <v>33</v>
      </c>
    </row>
    <row r="47" spans="1:8" ht="13.05" customHeight="1">
      <c r="A47" s="25" t="s">
        <v>58</v>
      </c>
      <c r="B47" s="26" t="s">
        <v>17</v>
      </c>
      <c r="C47" s="37">
        <v>11.87</v>
      </c>
      <c r="D47" s="28">
        <v>5765</v>
      </c>
      <c r="E47" s="28">
        <v>5765</v>
      </c>
      <c r="F47" s="27" t="s">
        <v>33</v>
      </c>
      <c r="G47" s="28" t="s">
        <v>33</v>
      </c>
      <c r="H47" s="28" t="s">
        <v>33</v>
      </c>
    </row>
    <row r="48" spans="1:8" ht="13.05" customHeight="1">
      <c r="A48" s="25" t="s">
        <v>59</v>
      </c>
      <c r="B48" s="26" t="s">
        <v>17</v>
      </c>
      <c r="C48" s="37">
        <v>32.07</v>
      </c>
      <c r="D48" s="28">
        <v>15771</v>
      </c>
      <c r="E48" s="28">
        <v>15771</v>
      </c>
      <c r="F48" s="27" t="s">
        <v>33</v>
      </c>
      <c r="G48" s="28" t="s">
        <v>33</v>
      </c>
      <c r="H48" s="28" t="s">
        <v>33</v>
      </c>
    </row>
    <row r="49" spans="1:8" ht="13.05" customHeight="1">
      <c r="A49" s="23" t="s">
        <v>60</v>
      </c>
      <c r="B49" s="24"/>
      <c r="C49" s="24"/>
      <c r="D49" s="24"/>
      <c r="E49" s="24"/>
      <c r="F49" s="24"/>
      <c r="G49" s="24"/>
      <c r="H49" s="24"/>
    </row>
    <row r="50" spans="1:8" ht="13.05" customHeight="1">
      <c r="A50" s="25" t="s">
        <v>61</v>
      </c>
      <c r="B50" s="26" t="s">
        <v>17</v>
      </c>
      <c r="C50" s="37">
        <v>13.69</v>
      </c>
      <c r="D50" s="28">
        <v>502703</v>
      </c>
      <c r="E50" s="28">
        <v>17343</v>
      </c>
      <c r="F50" s="27" t="s">
        <v>33</v>
      </c>
      <c r="G50" s="28" t="s">
        <v>33</v>
      </c>
      <c r="H50" s="28" t="s">
        <v>33</v>
      </c>
    </row>
    <row r="51" spans="1:8" ht="13.05" customHeight="1">
      <c r="A51" s="25" t="s">
        <v>62</v>
      </c>
      <c r="B51" s="26" t="s">
        <v>17</v>
      </c>
      <c r="C51" s="37">
        <v>22.33</v>
      </c>
      <c r="D51" s="28">
        <v>72548</v>
      </c>
      <c r="E51" s="28">
        <v>8058</v>
      </c>
      <c r="F51" s="27" t="s">
        <v>33</v>
      </c>
      <c r="G51" s="28" t="s">
        <v>33</v>
      </c>
      <c r="H51" s="28" t="s">
        <v>33</v>
      </c>
    </row>
    <row r="52" spans="1:8" ht="13.05" customHeight="1">
      <c r="A52" s="25" t="s">
        <v>63</v>
      </c>
      <c r="B52" s="26" t="s">
        <v>17</v>
      </c>
      <c r="C52" s="37">
        <v>9.61</v>
      </c>
      <c r="D52" s="28">
        <v>41276</v>
      </c>
      <c r="E52" s="28">
        <v>11460</v>
      </c>
      <c r="F52" s="27" t="s">
        <v>33</v>
      </c>
      <c r="G52" s="28" t="s">
        <v>33</v>
      </c>
      <c r="H52" s="28" t="s">
        <v>33</v>
      </c>
    </row>
    <row r="53" spans="1:8" ht="19.5" customHeight="1">
      <c r="A53" s="19" t="s">
        <v>64</v>
      </c>
      <c r="B53" s="20"/>
      <c r="C53" s="20"/>
      <c r="D53" s="20"/>
      <c r="E53" s="20"/>
      <c r="F53" s="20"/>
      <c r="G53" s="20"/>
      <c r="H53" s="20"/>
    </row>
    <row r="54" spans="1:8" ht="16.5" customHeight="1">
      <c r="A54" s="21" t="s">
        <v>65</v>
      </c>
      <c r="B54" s="22"/>
      <c r="C54" s="22"/>
      <c r="D54" s="22"/>
      <c r="E54" s="22"/>
      <c r="F54" s="22"/>
      <c r="G54" s="22"/>
      <c r="H54" s="22"/>
    </row>
    <row r="55" spans="1:8" ht="13.05" customHeight="1">
      <c r="A55" s="23" t="s">
        <v>66</v>
      </c>
      <c r="B55" s="24"/>
      <c r="C55" s="24"/>
      <c r="D55" s="24"/>
      <c r="E55" s="24"/>
      <c r="F55" s="24"/>
      <c r="G55" s="24"/>
      <c r="H55" s="24"/>
    </row>
    <row r="56" spans="1:8" ht="13.05" customHeight="1">
      <c r="A56" s="25" t="s">
        <v>67</v>
      </c>
      <c r="B56" s="26" t="s">
        <v>17</v>
      </c>
      <c r="C56" s="37">
        <v>-14.18</v>
      </c>
      <c r="D56" s="28">
        <v>24000</v>
      </c>
      <c r="E56" s="28">
        <v>2400</v>
      </c>
      <c r="F56" s="37">
        <v>-12.38</v>
      </c>
      <c r="G56" s="28">
        <v>24000</v>
      </c>
      <c r="H56" s="28">
        <v>2400</v>
      </c>
    </row>
    <row r="57" spans="1:8" ht="13.05" customHeight="1">
      <c r="A57" s="25" t="s">
        <v>68</v>
      </c>
      <c r="B57" s="26" t="s">
        <v>17</v>
      </c>
      <c r="C57" s="37">
        <v>-5.98</v>
      </c>
      <c r="D57" s="28">
        <v>150000</v>
      </c>
      <c r="E57" s="28">
        <v>8333</v>
      </c>
      <c r="F57" s="37">
        <v>-6.52</v>
      </c>
      <c r="G57" s="28">
        <v>150000</v>
      </c>
      <c r="H57" s="28">
        <v>8333</v>
      </c>
    </row>
    <row r="58" spans="1:8" ht="14" customHeight="1">
      <c r="A58" s="21" t="s">
        <v>69</v>
      </c>
      <c r="B58" s="22"/>
      <c r="C58" s="22"/>
      <c r="D58" s="22"/>
      <c r="E58" s="22"/>
      <c r="F58" s="22"/>
      <c r="G58" s="22"/>
      <c r="H58" s="22"/>
    </row>
    <row r="59" spans="1:8" ht="13.05" customHeight="1">
      <c r="A59" s="25" t="s">
        <v>70</v>
      </c>
      <c r="B59" s="26" t="s">
        <v>22</v>
      </c>
      <c r="C59" s="37">
        <v>3.1</v>
      </c>
      <c r="D59" s="28">
        <v>3000000</v>
      </c>
      <c r="E59" s="28">
        <v>600000</v>
      </c>
      <c r="F59" s="37">
        <v>3.11</v>
      </c>
      <c r="G59" s="28">
        <v>300000</v>
      </c>
      <c r="H59" s="28">
        <v>300000</v>
      </c>
    </row>
    <row r="60" spans="1:8" ht="19.5" customHeight="1">
      <c r="A60" s="19" t="s">
        <v>71</v>
      </c>
      <c r="B60" s="20"/>
      <c r="C60" s="20"/>
      <c r="D60" s="20"/>
      <c r="E60" s="20"/>
      <c r="F60" s="20"/>
      <c r="G60" s="20"/>
      <c r="H60" s="20"/>
    </row>
    <row r="61" spans="1:8" ht="16.5" customHeight="1">
      <c r="A61" s="21" t="s">
        <v>72</v>
      </c>
      <c r="B61" s="22"/>
      <c r="C61" s="22"/>
      <c r="D61" s="22"/>
      <c r="E61" s="22"/>
      <c r="F61" s="22"/>
      <c r="G61" s="22"/>
      <c r="H61" s="22"/>
    </row>
    <row r="62" spans="1:8" ht="13.05" customHeight="1">
      <c r="A62" s="23" t="s">
        <v>73</v>
      </c>
      <c r="B62" s="24"/>
      <c r="C62" s="24"/>
      <c r="D62" s="24"/>
      <c r="E62" s="24"/>
      <c r="F62" s="24"/>
      <c r="G62" s="24"/>
      <c r="H62" s="24"/>
    </row>
    <row r="63" spans="1:8" ht="13.05" customHeight="1">
      <c r="A63" s="25" t="s">
        <v>74</v>
      </c>
      <c r="B63" s="26" t="s">
        <v>17</v>
      </c>
      <c r="C63" s="37">
        <v>9.9700000000000006</v>
      </c>
      <c r="D63" s="28">
        <v>17650000</v>
      </c>
      <c r="E63" s="28">
        <v>250000</v>
      </c>
      <c r="F63" s="37">
        <v>10</v>
      </c>
      <c r="G63" s="28">
        <v>2160000</v>
      </c>
      <c r="H63" s="28">
        <v>250000</v>
      </c>
    </row>
    <row r="64" spans="1:8" ht="13.05" customHeight="1">
      <c r="A64" s="25" t="s">
        <v>75</v>
      </c>
      <c r="B64" s="26" t="s">
        <v>22</v>
      </c>
      <c r="C64" s="27" t="s">
        <v>33</v>
      </c>
      <c r="D64" s="28" t="s">
        <v>33</v>
      </c>
      <c r="E64" s="28" t="s">
        <v>33</v>
      </c>
      <c r="F64" s="37">
        <v>9.98</v>
      </c>
      <c r="G64" s="28">
        <v>40000000</v>
      </c>
      <c r="H64" s="28">
        <v>4000000</v>
      </c>
    </row>
    <row r="65" spans="1:8" ht="19.5" customHeight="1">
      <c r="A65" s="19" t="s">
        <v>76</v>
      </c>
      <c r="B65" s="20"/>
      <c r="C65" s="20"/>
      <c r="D65" s="20"/>
      <c r="E65" s="20"/>
      <c r="F65" s="20"/>
      <c r="G65" s="20"/>
      <c r="H65" s="20"/>
    </row>
    <row r="66" spans="1:8" ht="16.5" customHeight="1">
      <c r="A66" s="21" t="s">
        <v>77</v>
      </c>
      <c r="B66" s="22"/>
      <c r="C66" s="22"/>
      <c r="D66" s="22"/>
      <c r="E66" s="22"/>
      <c r="F66" s="22"/>
      <c r="G66" s="22"/>
      <c r="H66" s="22"/>
    </row>
    <row r="67" spans="1:8" ht="13.05" customHeight="1">
      <c r="A67" s="25" t="s">
        <v>78</v>
      </c>
      <c r="B67" s="26" t="s">
        <v>17</v>
      </c>
      <c r="C67" s="37">
        <v>4.03</v>
      </c>
      <c r="D67" s="28">
        <v>424000</v>
      </c>
      <c r="E67" s="28">
        <v>53000</v>
      </c>
      <c r="F67" s="37">
        <v>5.18</v>
      </c>
      <c r="G67" s="28">
        <v>302000</v>
      </c>
      <c r="H67" s="28">
        <v>75500</v>
      </c>
    </row>
    <row r="68" spans="1:8" ht="14" customHeight="1">
      <c r="A68" s="21" t="s">
        <v>79</v>
      </c>
      <c r="B68" s="22"/>
      <c r="C68" s="22"/>
      <c r="D68" s="22"/>
      <c r="E68" s="22"/>
      <c r="F68" s="22"/>
      <c r="G68" s="22"/>
      <c r="H68" s="22"/>
    </row>
    <row r="69" spans="1:8" ht="13.05" customHeight="1">
      <c r="A69" s="23" t="s">
        <v>80</v>
      </c>
      <c r="B69" s="24"/>
      <c r="C69" s="24"/>
      <c r="D69" s="24"/>
      <c r="E69" s="24"/>
      <c r="F69" s="24"/>
      <c r="G69" s="24"/>
      <c r="H69" s="24"/>
    </row>
    <row r="70" spans="1:8" ht="13.05" customHeight="1">
      <c r="A70" s="25" t="s">
        <v>81</v>
      </c>
      <c r="B70" s="26" t="s">
        <v>22</v>
      </c>
      <c r="C70" s="37">
        <v>45.9</v>
      </c>
      <c r="D70" s="28">
        <v>82766</v>
      </c>
      <c r="E70" s="37">
        <v>3</v>
      </c>
      <c r="F70" s="37">
        <v>47.47</v>
      </c>
      <c r="G70" s="28">
        <v>83767</v>
      </c>
      <c r="H70" s="37">
        <v>3</v>
      </c>
    </row>
    <row r="71" spans="1:8" ht="13.05" customHeight="1">
      <c r="A71" s="23" t="s">
        <v>82</v>
      </c>
      <c r="B71" s="24"/>
      <c r="C71" s="24"/>
      <c r="D71" s="24"/>
      <c r="E71" s="24"/>
      <c r="F71" s="24"/>
      <c r="G71" s="24"/>
      <c r="H71" s="24"/>
    </row>
    <row r="72" spans="1:8" ht="13.05" customHeight="1">
      <c r="A72" s="25" t="s">
        <v>83</v>
      </c>
      <c r="B72" s="26" t="s">
        <v>22</v>
      </c>
      <c r="C72" s="37">
        <v>32.03</v>
      </c>
      <c r="D72" s="28">
        <v>41872505</v>
      </c>
      <c r="E72" s="37">
        <v>45</v>
      </c>
      <c r="F72" s="37">
        <v>36.770000000000003</v>
      </c>
      <c r="G72" s="28">
        <v>41580243</v>
      </c>
      <c r="H72" s="37">
        <v>45</v>
      </c>
    </row>
    <row r="73" spans="1:8" ht="13.05" customHeight="1">
      <c r="A73" s="25" t="s">
        <v>84</v>
      </c>
      <c r="B73" s="26" t="s">
        <v>22</v>
      </c>
      <c r="C73" s="37">
        <v>-22.05</v>
      </c>
      <c r="D73" s="28">
        <v>24196745</v>
      </c>
      <c r="E73" s="37">
        <v>20</v>
      </c>
      <c r="F73" s="37">
        <v>-16.71</v>
      </c>
      <c r="G73" s="28">
        <v>17590735</v>
      </c>
      <c r="H73" s="37">
        <v>18</v>
      </c>
    </row>
    <row r="74" spans="1:8" ht="13.05" customHeight="1">
      <c r="A74" s="25" t="s">
        <v>85</v>
      </c>
      <c r="B74" s="26" t="s">
        <v>22</v>
      </c>
      <c r="C74" s="37">
        <v>19.739999999999998</v>
      </c>
      <c r="D74" s="28">
        <v>19106774</v>
      </c>
      <c r="E74" s="37">
        <v>4</v>
      </c>
      <c r="F74" s="37">
        <v>20.010000000000002</v>
      </c>
      <c r="G74" s="28">
        <v>19414476</v>
      </c>
      <c r="H74" s="37">
        <v>4</v>
      </c>
    </row>
    <row r="75" spans="1:8" ht="13.05" customHeight="1">
      <c r="A75" s="25" t="s">
        <v>86</v>
      </c>
      <c r="B75" s="26" t="s">
        <v>22</v>
      </c>
      <c r="C75" s="37">
        <v>6.48</v>
      </c>
      <c r="D75" s="28">
        <v>57967161</v>
      </c>
      <c r="E75" s="37">
        <v>8</v>
      </c>
      <c r="F75" s="37">
        <v>10.98</v>
      </c>
      <c r="G75" s="28">
        <v>57408053</v>
      </c>
      <c r="H75" s="37">
        <v>8</v>
      </c>
    </row>
    <row r="76" spans="1:8" ht="13.05" customHeight="1">
      <c r="A76" s="25" t="s">
        <v>87</v>
      </c>
      <c r="B76" s="26" t="s">
        <v>22</v>
      </c>
      <c r="C76" s="37">
        <v>10.9</v>
      </c>
      <c r="D76" s="28">
        <v>143143185</v>
      </c>
      <c r="E76" s="37">
        <v>10</v>
      </c>
      <c r="F76" s="37">
        <v>16.57</v>
      </c>
      <c r="G76" s="28">
        <v>135993508</v>
      </c>
      <c r="H76" s="37">
        <v>10</v>
      </c>
    </row>
    <row r="77" spans="1:8" ht="19.5" customHeight="1">
      <c r="A77" s="19" t="s">
        <v>88</v>
      </c>
      <c r="B77" s="20"/>
      <c r="C77" s="20"/>
      <c r="D77" s="20"/>
      <c r="E77" s="20"/>
      <c r="F77" s="20"/>
      <c r="G77" s="20"/>
      <c r="H77" s="20"/>
    </row>
    <row r="78" spans="1:8" ht="16.5" customHeight="1">
      <c r="A78" s="21" t="s">
        <v>89</v>
      </c>
      <c r="B78" s="22"/>
      <c r="C78" s="22"/>
      <c r="D78" s="22"/>
      <c r="E78" s="22"/>
      <c r="F78" s="22"/>
      <c r="G78" s="22"/>
      <c r="H78" s="22"/>
    </row>
    <row r="79" spans="1:8" ht="13.05" customHeight="1">
      <c r="A79" s="23" t="s">
        <v>90</v>
      </c>
      <c r="B79" s="24"/>
      <c r="C79" s="24"/>
      <c r="D79" s="24"/>
      <c r="E79" s="24"/>
      <c r="F79" s="24"/>
      <c r="G79" s="24"/>
      <c r="H79" s="24"/>
    </row>
    <row r="80" spans="1:8" ht="13.05" customHeight="1">
      <c r="A80" s="25" t="s">
        <v>91</v>
      </c>
      <c r="B80" s="26" t="s">
        <v>17</v>
      </c>
      <c r="C80" s="37">
        <v>0</v>
      </c>
      <c r="D80" s="28">
        <v>1000000</v>
      </c>
      <c r="E80" s="28">
        <v>500000</v>
      </c>
      <c r="F80" s="37">
        <v>3.33</v>
      </c>
      <c r="G80" s="28">
        <v>6000000</v>
      </c>
      <c r="H80" s="28">
        <v>1000000</v>
      </c>
    </row>
    <row r="81" spans="1:8" ht="13.05" customHeight="1">
      <c r="A81" s="25" t="s">
        <v>92</v>
      </c>
      <c r="B81" s="26" t="s">
        <v>17</v>
      </c>
      <c r="C81" s="37">
        <v>-3.92</v>
      </c>
      <c r="D81" s="28">
        <v>36000000</v>
      </c>
      <c r="E81" s="28">
        <v>5142857</v>
      </c>
      <c r="F81" s="37">
        <v>0</v>
      </c>
      <c r="G81" s="28">
        <v>70000000</v>
      </c>
      <c r="H81" s="28">
        <v>10000000</v>
      </c>
    </row>
    <row r="82" spans="1:8" ht="13.05" customHeight="1">
      <c r="A82" s="23" t="s">
        <v>93</v>
      </c>
      <c r="B82" s="24"/>
      <c r="C82" s="24"/>
      <c r="D82" s="24"/>
      <c r="E82" s="24"/>
      <c r="F82" s="24"/>
      <c r="G82" s="24"/>
      <c r="H82" s="24"/>
    </row>
    <row r="83" spans="1:8" ht="13.05" customHeight="1">
      <c r="A83" s="25" t="s">
        <v>94</v>
      </c>
      <c r="B83" s="26" t="s">
        <v>17</v>
      </c>
      <c r="C83" s="27" t="s">
        <v>33</v>
      </c>
      <c r="D83" s="28" t="s">
        <v>33</v>
      </c>
      <c r="E83" s="28" t="s">
        <v>33</v>
      </c>
      <c r="F83" s="37">
        <v>7.0000000000000007E-2</v>
      </c>
      <c r="G83" s="28">
        <v>500000</v>
      </c>
      <c r="H83" s="28">
        <v>500000</v>
      </c>
    </row>
    <row r="84" spans="1:8" ht="19.5" customHeight="1">
      <c r="A84" s="19" t="s">
        <v>95</v>
      </c>
      <c r="B84" s="20"/>
      <c r="C84" s="20"/>
      <c r="D84" s="20"/>
      <c r="E84" s="20"/>
      <c r="F84" s="20"/>
      <c r="G84" s="20"/>
      <c r="H84" s="20"/>
    </row>
    <row r="85" spans="1:8" ht="16.5" customHeight="1">
      <c r="A85" s="21" t="s">
        <v>96</v>
      </c>
      <c r="B85" s="22"/>
      <c r="C85" s="22"/>
      <c r="D85" s="22"/>
      <c r="E85" s="22"/>
      <c r="F85" s="22"/>
      <c r="G85" s="22"/>
      <c r="H85" s="22"/>
    </row>
    <row r="86" spans="1:8" ht="13.05" customHeight="1">
      <c r="A86" s="25" t="s">
        <v>97</v>
      </c>
      <c r="B86" s="26" t="s">
        <v>17</v>
      </c>
      <c r="C86" s="37">
        <v>91.36</v>
      </c>
      <c r="D86" s="28">
        <v>85730</v>
      </c>
      <c r="E86" s="28">
        <v>1174</v>
      </c>
      <c r="F86" s="37">
        <v>91.08</v>
      </c>
      <c r="G86" s="28">
        <v>7115</v>
      </c>
      <c r="H86" s="28">
        <v>3557</v>
      </c>
    </row>
    <row r="87" spans="1:8" ht="19.5" customHeight="1">
      <c r="A87" s="19" t="s">
        <v>98</v>
      </c>
      <c r="B87" s="20"/>
      <c r="C87" s="20"/>
      <c r="D87" s="20"/>
      <c r="E87" s="20"/>
      <c r="F87" s="20"/>
      <c r="G87" s="20"/>
      <c r="H87" s="20"/>
    </row>
    <row r="88" spans="1:8" ht="16.5" customHeight="1">
      <c r="A88" s="21" t="s">
        <v>99</v>
      </c>
      <c r="B88" s="22"/>
      <c r="C88" s="22"/>
      <c r="D88" s="22"/>
      <c r="E88" s="22"/>
      <c r="F88" s="22"/>
      <c r="G88" s="22"/>
      <c r="H88" s="22"/>
    </row>
    <row r="89" spans="1:8" ht="13.05" customHeight="1">
      <c r="A89" s="23" t="s">
        <v>100</v>
      </c>
      <c r="B89" s="24"/>
      <c r="C89" s="24"/>
      <c r="D89" s="24"/>
      <c r="E89" s="24"/>
      <c r="F89" s="24"/>
      <c r="G89" s="24"/>
      <c r="H89" s="24"/>
    </row>
    <row r="90" spans="1:8" ht="13.05" customHeight="1">
      <c r="A90" s="25" t="s">
        <v>101</v>
      </c>
      <c r="B90" s="26" t="s">
        <v>22</v>
      </c>
      <c r="C90" s="37">
        <v>44.93</v>
      </c>
      <c r="D90" s="28">
        <v>13000</v>
      </c>
      <c r="E90" s="37">
        <v>685</v>
      </c>
      <c r="F90" s="27" t="s">
        <v>33</v>
      </c>
      <c r="G90" s="28" t="s">
        <v>33</v>
      </c>
      <c r="H90" s="28" t="s">
        <v>33</v>
      </c>
    </row>
    <row r="91" spans="1:8" ht="13.05" customHeight="1">
      <c r="A91" s="25" t="s">
        <v>102</v>
      </c>
      <c r="B91" s="26" t="s">
        <v>22</v>
      </c>
      <c r="C91" s="37">
        <v>35.299999999999997</v>
      </c>
      <c r="D91" s="28">
        <v>426120</v>
      </c>
      <c r="E91" s="28">
        <v>8040</v>
      </c>
      <c r="F91" s="27" t="s">
        <v>33</v>
      </c>
      <c r="G91" s="28" t="s">
        <v>33</v>
      </c>
      <c r="H91" s="28" t="s">
        <v>33</v>
      </c>
    </row>
    <row r="92" spans="1:8" ht="13.05" customHeight="1">
      <c r="A92" s="23" t="s">
        <v>103</v>
      </c>
      <c r="B92" s="24"/>
      <c r="C92" s="24"/>
      <c r="D92" s="24"/>
      <c r="E92" s="24"/>
      <c r="F92" s="24"/>
      <c r="G92" s="24"/>
      <c r="H92" s="24"/>
    </row>
    <row r="93" spans="1:8" ht="13.05" customHeight="1">
      <c r="A93" s="25" t="s">
        <v>104</v>
      </c>
      <c r="B93" s="26" t="s">
        <v>17</v>
      </c>
      <c r="C93" s="37">
        <v>-11.23</v>
      </c>
      <c r="D93" s="28">
        <v>357001</v>
      </c>
      <c r="E93" s="28">
        <v>18790</v>
      </c>
      <c r="F93" s="27" t="s">
        <v>33</v>
      </c>
      <c r="G93" s="28" t="s">
        <v>33</v>
      </c>
      <c r="H93" s="28" t="s">
        <v>33</v>
      </c>
    </row>
    <row r="94" spans="1:8" ht="19.5" customHeight="1">
      <c r="A94" s="19" t="s">
        <v>105</v>
      </c>
      <c r="B94" s="20"/>
      <c r="C94" s="20"/>
      <c r="D94" s="20"/>
      <c r="E94" s="20"/>
      <c r="F94" s="20"/>
      <c r="G94" s="20"/>
      <c r="H94" s="20"/>
    </row>
    <row r="95" spans="1:8" ht="16.5" customHeight="1">
      <c r="A95" s="21" t="s">
        <v>106</v>
      </c>
      <c r="B95" s="22"/>
      <c r="C95" s="22"/>
      <c r="D95" s="22"/>
      <c r="E95" s="22"/>
      <c r="F95" s="22"/>
      <c r="G95" s="22"/>
      <c r="H95" s="22"/>
    </row>
    <row r="96" spans="1:8" ht="13.05" customHeight="1">
      <c r="A96" s="25" t="s">
        <v>107</v>
      </c>
      <c r="B96" s="26" t="s">
        <v>22</v>
      </c>
      <c r="C96" s="37">
        <v>65.75</v>
      </c>
      <c r="D96" s="28">
        <v>6000</v>
      </c>
      <c r="E96" s="37">
        <v>4</v>
      </c>
      <c r="F96" s="37">
        <v>65.53</v>
      </c>
      <c r="G96" s="28">
        <v>5723</v>
      </c>
      <c r="H96" s="37">
        <v>4</v>
      </c>
    </row>
    <row r="97" spans="1:8" ht="19.5" customHeight="1">
      <c r="A97" s="19" t="s">
        <v>108</v>
      </c>
      <c r="B97" s="20"/>
      <c r="C97" s="20"/>
      <c r="D97" s="20"/>
      <c r="E97" s="20"/>
      <c r="F97" s="20"/>
      <c r="G97" s="20"/>
      <c r="H97" s="20"/>
    </row>
    <row r="98" spans="1:8" ht="16.5" customHeight="1">
      <c r="A98" s="21" t="s">
        <v>109</v>
      </c>
      <c r="B98" s="22"/>
      <c r="C98" s="22"/>
      <c r="D98" s="22"/>
      <c r="E98" s="22"/>
      <c r="F98" s="22"/>
      <c r="G98" s="22"/>
      <c r="H98" s="22"/>
    </row>
    <row r="99" spans="1:8" ht="13.05" customHeight="1">
      <c r="A99" s="25" t="s">
        <v>110</v>
      </c>
      <c r="B99" s="26" t="s">
        <v>17</v>
      </c>
      <c r="C99" s="37">
        <v>0</v>
      </c>
      <c r="D99" s="28">
        <v>8000000</v>
      </c>
      <c r="E99" s="28">
        <v>1000000</v>
      </c>
      <c r="F99" s="37">
        <v>0.63</v>
      </c>
      <c r="G99" s="28">
        <v>16000000</v>
      </c>
      <c r="H99" s="28">
        <v>1000000</v>
      </c>
    </row>
    <row r="100" spans="1:8" ht="14" customHeight="1">
      <c r="A100" s="21" t="s">
        <v>111</v>
      </c>
      <c r="B100" s="22"/>
      <c r="C100" s="22"/>
      <c r="D100" s="22"/>
      <c r="E100" s="22"/>
      <c r="F100" s="22"/>
      <c r="G100" s="22"/>
      <c r="H100" s="22"/>
    </row>
    <row r="101" spans="1:8" ht="13.05" customHeight="1">
      <c r="A101" s="23" t="s">
        <v>112</v>
      </c>
      <c r="B101" s="24"/>
      <c r="C101" s="24"/>
      <c r="D101" s="24"/>
      <c r="E101" s="24"/>
      <c r="F101" s="24"/>
      <c r="G101" s="24"/>
      <c r="H101" s="24"/>
    </row>
    <row r="102" spans="1:8" ht="13.05" customHeight="1">
      <c r="A102" s="25" t="s">
        <v>113</v>
      </c>
      <c r="B102" s="26" t="s">
        <v>17</v>
      </c>
      <c r="C102" s="37">
        <v>1.78</v>
      </c>
      <c r="D102" s="28">
        <v>9250000</v>
      </c>
      <c r="E102" s="28">
        <v>81681</v>
      </c>
      <c r="F102" s="37">
        <v>-3.73</v>
      </c>
      <c r="G102" s="28">
        <v>10040000</v>
      </c>
      <c r="H102" s="28">
        <v>90644</v>
      </c>
    </row>
    <row r="103" spans="1:8" ht="13.05" customHeight="1">
      <c r="A103" s="25" t="s">
        <v>114</v>
      </c>
      <c r="B103" s="26" t="s">
        <v>17</v>
      </c>
      <c r="C103" s="37">
        <v>-7.41</v>
      </c>
      <c r="D103" s="28">
        <v>70000</v>
      </c>
      <c r="E103" s="28">
        <v>70000</v>
      </c>
      <c r="F103" s="37">
        <v>-12.65</v>
      </c>
      <c r="G103" s="28">
        <v>75000</v>
      </c>
      <c r="H103" s="28">
        <v>75000</v>
      </c>
    </row>
    <row r="104" spans="1:8" ht="13.05" customHeight="1">
      <c r="A104" s="25" t="s">
        <v>115</v>
      </c>
      <c r="B104" s="26" t="s">
        <v>17</v>
      </c>
      <c r="C104" s="37">
        <v>2.2000000000000002</v>
      </c>
      <c r="D104" s="28">
        <v>200000</v>
      </c>
      <c r="E104" s="28">
        <v>124232</v>
      </c>
      <c r="F104" s="37">
        <v>8.42</v>
      </c>
      <c r="G104" s="28">
        <v>215000</v>
      </c>
      <c r="H104" s="28">
        <v>22542</v>
      </c>
    </row>
    <row r="105" spans="1:8" ht="19.5" customHeight="1">
      <c r="A105" s="19" t="s">
        <v>116</v>
      </c>
      <c r="B105" s="20"/>
      <c r="C105" s="20"/>
      <c r="D105" s="20"/>
      <c r="E105" s="20"/>
      <c r="F105" s="20"/>
      <c r="G105" s="20"/>
      <c r="H105" s="20"/>
    </row>
    <row r="106" spans="1:8" ht="16.5" customHeight="1">
      <c r="A106" s="21" t="s">
        <v>117</v>
      </c>
      <c r="B106" s="22"/>
      <c r="C106" s="22"/>
      <c r="D106" s="22"/>
      <c r="E106" s="22"/>
      <c r="F106" s="22"/>
      <c r="G106" s="22"/>
      <c r="H106" s="22"/>
    </row>
    <row r="107" spans="1:8" ht="13.05" customHeight="1">
      <c r="A107" s="23" t="s">
        <v>118</v>
      </c>
      <c r="B107" s="24"/>
      <c r="C107" s="24"/>
      <c r="D107" s="24"/>
      <c r="E107" s="24"/>
      <c r="F107" s="24"/>
      <c r="G107" s="24"/>
      <c r="H107" s="24"/>
    </row>
    <row r="108" spans="1:8" ht="13.05" customHeight="1">
      <c r="A108" s="25" t="s">
        <v>119</v>
      </c>
      <c r="B108" s="26" t="s">
        <v>17</v>
      </c>
      <c r="C108" s="37">
        <v>1.98</v>
      </c>
      <c r="D108" s="28">
        <v>9000000</v>
      </c>
      <c r="E108" s="28">
        <v>300000</v>
      </c>
      <c r="F108" s="37">
        <v>2.2799999999999998</v>
      </c>
      <c r="G108" s="28">
        <v>8000000</v>
      </c>
      <c r="H108" s="28">
        <v>400000</v>
      </c>
    </row>
    <row r="109" spans="1:8" ht="13.05" customHeight="1">
      <c r="A109" s="23" t="s">
        <v>120</v>
      </c>
      <c r="B109" s="24"/>
      <c r="C109" s="24"/>
      <c r="D109" s="24"/>
      <c r="E109" s="24"/>
      <c r="F109" s="24"/>
      <c r="G109" s="24"/>
      <c r="H109" s="24"/>
    </row>
    <row r="110" spans="1:8" ht="13.05" customHeight="1">
      <c r="A110" s="25" t="s">
        <v>121</v>
      </c>
      <c r="B110" s="26" t="s">
        <v>17</v>
      </c>
      <c r="C110" s="37">
        <v>1.48</v>
      </c>
      <c r="D110" s="28">
        <v>600000</v>
      </c>
      <c r="E110" s="28">
        <v>200000</v>
      </c>
      <c r="F110" s="37">
        <v>0.94</v>
      </c>
      <c r="G110" s="28">
        <v>638000</v>
      </c>
      <c r="H110" s="28">
        <v>212667</v>
      </c>
    </row>
    <row r="111" spans="1:8" ht="14" customHeight="1">
      <c r="A111" s="21" t="s">
        <v>122</v>
      </c>
      <c r="B111" s="22"/>
      <c r="C111" s="22"/>
      <c r="D111" s="22"/>
      <c r="E111" s="22"/>
      <c r="F111" s="22"/>
      <c r="G111" s="22"/>
      <c r="H111" s="22"/>
    </row>
    <row r="112" spans="1:8" ht="13.05" customHeight="1">
      <c r="A112" s="25" t="s">
        <v>123</v>
      </c>
      <c r="B112" s="26" t="s">
        <v>17</v>
      </c>
      <c r="C112" s="37">
        <v>1.32</v>
      </c>
      <c r="D112" s="28">
        <v>1247589</v>
      </c>
      <c r="E112" s="28">
        <v>207932</v>
      </c>
      <c r="F112" s="37">
        <v>1.28</v>
      </c>
      <c r="G112" s="28">
        <v>148000</v>
      </c>
      <c r="H112" s="28">
        <v>49333</v>
      </c>
    </row>
    <row r="113" spans="1:8" ht="19.5" customHeight="1">
      <c r="A113" s="19" t="s">
        <v>124</v>
      </c>
      <c r="B113" s="20"/>
      <c r="C113" s="20"/>
      <c r="D113" s="20"/>
      <c r="E113" s="20"/>
      <c r="F113" s="20"/>
      <c r="G113" s="20"/>
      <c r="H113" s="20"/>
    </row>
    <row r="114" spans="1:8" ht="16.5" customHeight="1">
      <c r="A114" s="21" t="s">
        <v>125</v>
      </c>
      <c r="B114" s="22"/>
      <c r="C114" s="22"/>
      <c r="D114" s="22"/>
      <c r="E114" s="22"/>
      <c r="F114" s="22"/>
      <c r="G114" s="22"/>
      <c r="H114" s="22"/>
    </row>
    <row r="115" spans="1:8" ht="13.05" customHeight="1">
      <c r="A115" s="23" t="s">
        <v>126</v>
      </c>
      <c r="B115" s="24"/>
      <c r="C115" s="24"/>
      <c r="D115" s="24"/>
      <c r="E115" s="24"/>
      <c r="F115" s="24"/>
      <c r="G115" s="24"/>
      <c r="H115" s="24"/>
    </row>
    <row r="116" spans="1:8" ht="13.05" customHeight="1">
      <c r="A116" s="25" t="s">
        <v>127</v>
      </c>
      <c r="B116" s="26" t="s">
        <v>17</v>
      </c>
      <c r="C116" s="37">
        <v>0</v>
      </c>
      <c r="D116" s="28">
        <v>500000</v>
      </c>
      <c r="E116" s="28">
        <v>100000</v>
      </c>
      <c r="F116" s="27" t="s">
        <v>33</v>
      </c>
      <c r="G116" s="28" t="s">
        <v>33</v>
      </c>
      <c r="H116" s="28" t="s">
        <v>33</v>
      </c>
    </row>
    <row r="117" spans="1:8" ht="13.05" customHeight="1">
      <c r="A117" s="25" t="s">
        <v>128</v>
      </c>
      <c r="B117" s="26" t="s">
        <v>17</v>
      </c>
      <c r="C117" s="27" t="s">
        <v>33</v>
      </c>
      <c r="D117" s="28" t="s">
        <v>33</v>
      </c>
      <c r="E117" s="28" t="s">
        <v>33</v>
      </c>
      <c r="F117" s="37">
        <v>8.16</v>
      </c>
      <c r="G117" s="28">
        <v>10000</v>
      </c>
      <c r="H117" s="37">
        <v>500</v>
      </c>
    </row>
    <row r="118" spans="1:8" ht="19.5" customHeight="1">
      <c r="A118" s="19" t="s">
        <v>129</v>
      </c>
      <c r="B118" s="20"/>
      <c r="C118" s="20"/>
      <c r="D118" s="20"/>
      <c r="E118" s="20"/>
      <c r="F118" s="20"/>
      <c r="G118" s="20"/>
      <c r="H118" s="20"/>
    </row>
    <row r="119" spans="1:8" ht="16.5" customHeight="1">
      <c r="A119" s="21" t="s">
        <v>130</v>
      </c>
      <c r="B119" s="22"/>
      <c r="C119" s="22"/>
      <c r="D119" s="22"/>
      <c r="E119" s="22"/>
      <c r="F119" s="22"/>
      <c r="G119" s="22"/>
      <c r="H119" s="22"/>
    </row>
    <row r="120" spans="1:8" ht="13.05" customHeight="1">
      <c r="A120" s="23" t="s">
        <v>131</v>
      </c>
      <c r="B120" s="24"/>
      <c r="C120" s="24"/>
      <c r="D120" s="24"/>
      <c r="E120" s="24"/>
      <c r="F120" s="24"/>
      <c r="G120" s="24"/>
      <c r="H120" s="24"/>
    </row>
    <row r="121" spans="1:8" ht="13.05" customHeight="1">
      <c r="A121" s="25" t="s">
        <v>132</v>
      </c>
      <c r="B121" s="26" t="s">
        <v>22</v>
      </c>
      <c r="C121" s="37">
        <v>12.11</v>
      </c>
      <c r="D121" s="28">
        <v>8254</v>
      </c>
      <c r="E121" s="37">
        <v>330</v>
      </c>
      <c r="F121" s="37">
        <v>11.24</v>
      </c>
      <c r="G121" s="28">
        <v>8107</v>
      </c>
      <c r="H121" s="37">
        <v>337</v>
      </c>
    </row>
    <row r="122" spans="1:8" ht="13.05" customHeight="1">
      <c r="A122" s="25" t="s">
        <v>133</v>
      </c>
      <c r="B122" s="26" t="s">
        <v>22</v>
      </c>
      <c r="C122" s="37">
        <v>-31.21</v>
      </c>
      <c r="D122" s="28">
        <v>155787</v>
      </c>
      <c r="E122" s="37">
        <v>263</v>
      </c>
      <c r="F122" s="37">
        <v>-26.57</v>
      </c>
      <c r="G122" s="28">
        <v>135558</v>
      </c>
      <c r="H122" s="37">
        <v>269</v>
      </c>
    </row>
    <row r="123" spans="1:8" ht="13.05" customHeight="1">
      <c r="A123" s="23" t="s">
        <v>134</v>
      </c>
      <c r="B123" s="24"/>
      <c r="C123" s="24"/>
      <c r="D123" s="24"/>
      <c r="E123" s="24"/>
      <c r="F123" s="24"/>
      <c r="G123" s="24"/>
      <c r="H123" s="24"/>
    </row>
    <row r="124" spans="1:8" ht="13.05" customHeight="1">
      <c r="A124" s="25" t="s">
        <v>135</v>
      </c>
      <c r="B124" s="26" t="s">
        <v>17</v>
      </c>
      <c r="C124" s="37">
        <v>15.83</v>
      </c>
      <c r="D124" s="28">
        <v>43382</v>
      </c>
      <c r="E124" s="37">
        <v>299</v>
      </c>
      <c r="F124" s="37">
        <v>6.56</v>
      </c>
      <c r="G124" s="28">
        <v>39711</v>
      </c>
      <c r="H124" s="37">
        <v>305</v>
      </c>
    </row>
    <row r="125" spans="1:8" ht="13.05" customHeight="1">
      <c r="A125" s="25" t="s">
        <v>136</v>
      </c>
      <c r="B125" s="26" t="s">
        <v>17</v>
      </c>
      <c r="C125" s="37">
        <v>3.26</v>
      </c>
      <c r="D125" s="28">
        <v>1394</v>
      </c>
      <c r="E125" s="37">
        <v>2</v>
      </c>
      <c r="F125" s="37">
        <v>2.84</v>
      </c>
      <c r="G125" s="28">
        <v>1227</v>
      </c>
      <c r="H125" s="37">
        <v>2</v>
      </c>
    </row>
    <row r="126" spans="1:8" ht="19.5" customHeight="1">
      <c r="A126" s="19" t="s">
        <v>137</v>
      </c>
      <c r="B126" s="20"/>
      <c r="C126" s="20"/>
      <c r="D126" s="20"/>
      <c r="E126" s="20"/>
      <c r="F126" s="20"/>
      <c r="G126" s="20"/>
      <c r="H126" s="20"/>
    </row>
    <row r="127" spans="1:8" ht="13.05" customHeight="1">
      <c r="A127" s="25" t="s">
        <v>138</v>
      </c>
      <c r="B127" s="26" t="s">
        <v>17</v>
      </c>
      <c r="C127" s="37">
        <v>2.85</v>
      </c>
      <c r="D127" s="28">
        <v>77247</v>
      </c>
      <c r="E127" s="28">
        <v>77247</v>
      </c>
      <c r="F127" s="37">
        <v>2.99</v>
      </c>
      <c r="G127" s="28">
        <v>73542</v>
      </c>
      <c r="H127" s="28">
        <v>73542</v>
      </c>
    </row>
    <row r="128" spans="1:8" ht="19.5" customHeight="1">
      <c r="A128" s="19" t="s">
        <v>139</v>
      </c>
      <c r="B128" s="20"/>
      <c r="C128" s="20"/>
      <c r="D128" s="20"/>
      <c r="E128" s="20"/>
      <c r="F128" s="20"/>
      <c r="G128" s="20"/>
      <c r="H128" s="20"/>
    </row>
    <row r="129" spans="1:8" ht="13.05" customHeight="1">
      <c r="A129" s="25" t="s">
        <v>140</v>
      </c>
      <c r="B129" s="26" t="s">
        <v>17</v>
      </c>
      <c r="C129" s="37">
        <v>0.89</v>
      </c>
      <c r="D129" s="28">
        <v>1694915</v>
      </c>
      <c r="E129" s="28">
        <v>169492</v>
      </c>
      <c r="F129" s="37">
        <v>0.86</v>
      </c>
      <c r="G129" s="28">
        <v>1748252</v>
      </c>
      <c r="H129" s="28">
        <v>174825</v>
      </c>
    </row>
    <row r="130" spans="1:8" ht="19.5" customHeight="1">
      <c r="A130" s="19" t="s">
        <v>141</v>
      </c>
      <c r="B130" s="20"/>
      <c r="C130" s="20"/>
      <c r="D130" s="20"/>
      <c r="E130" s="20"/>
      <c r="F130" s="20"/>
      <c r="G130" s="20"/>
      <c r="H130" s="20"/>
    </row>
    <row r="131" spans="1:8" ht="13.05" customHeight="1">
      <c r="A131" s="23" t="s">
        <v>142</v>
      </c>
      <c r="B131" s="24"/>
      <c r="C131" s="24"/>
      <c r="D131" s="24"/>
      <c r="E131" s="24"/>
      <c r="F131" s="24"/>
      <c r="G131" s="24"/>
      <c r="H131" s="24"/>
    </row>
    <row r="132" spans="1:8" ht="13.05" customHeight="1">
      <c r="A132" s="25" t="s">
        <v>143</v>
      </c>
      <c r="B132" s="26" t="s">
        <v>17</v>
      </c>
      <c r="C132" s="37">
        <v>9.3699999999999992</v>
      </c>
      <c r="D132" s="28">
        <v>59552</v>
      </c>
      <c r="E132" s="37">
        <v>918</v>
      </c>
      <c r="F132" s="37">
        <v>9.23</v>
      </c>
      <c r="G132" s="28">
        <v>60455</v>
      </c>
      <c r="H132" s="37">
        <v>945</v>
      </c>
    </row>
    <row r="133" spans="1:8" ht="13.05" customHeight="1">
      <c r="A133" s="23" t="s">
        <v>144</v>
      </c>
      <c r="B133" s="24"/>
      <c r="C133" s="24"/>
      <c r="D133" s="24"/>
      <c r="E133" s="24"/>
      <c r="F133" s="24"/>
      <c r="G133" s="24"/>
      <c r="H133" s="24"/>
    </row>
    <row r="134" spans="1:8" ht="13.05" customHeight="1">
      <c r="A134" s="25" t="s">
        <v>145</v>
      </c>
      <c r="B134" s="26" t="s">
        <v>17</v>
      </c>
      <c r="C134" s="37">
        <v>18.75</v>
      </c>
      <c r="D134" s="28">
        <v>1723000</v>
      </c>
      <c r="E134" s="37">
        <v>37</v>
      </c>
      <c r="F134" s="37">
        <v>18.37</v>
      </c>
      <c r="G134" s="28">
        <v>1989176</v>
      </c>
      <c r="H134" s="37">
        <v>38</v>
      </c>
    </row>
    <row r="135" spans="1:8" ht="19.5" customHeight="1">
      <c r="A135" s="19" t="s">
        <v>146</v>
      </c>
      <c r="B135" s="20"/>
      <c r="C135" s="20"/>
      <c r="D135" s="20"/>
      <c r="E135" s="20"/>
      <c r="F135" s="20"/>
      <c r="G135" s="20"/>
      <c r="H135" s="20"/>
    </row>
    <row r="136" spans="1:8" ht="13.05" customHeight="1">
      <c r="A136" s="23" t="s">
        <v>147</v>
      </c>
      <c r="B136" s="24"/>
      <c r="C136" s="24"/>
      <c r="D136" s="24"/>
      <c r="E136" s="24"/>
      <c r="F136" s="24"/>
      <c r="G136" s="24"/>
      <c r="H136" s="24"/>
    </row>
    <row r="137" spans="1:8" ht="13.05" customHeight="1">
      <c r="A137" s="25" t="s">
        <v>148</v>
      </c>
      <c r="B137" s="26" t="s">
        <v>17</v>
      </c>
      <c r="C137" s="37">
        <v>-6.2</v>
      </c>
      <c r="D137" s="28">
        <v>1129000</v>
      </c>
      <c r="E137" s="28">
        <v>148070</v>
      </c>
      <c r="F137" s="37">
        <v>-5.14</v>
      </c>
      <c r="G137" s="28">
        <v>3263417</v>
      </c>
      <c r="H137" s="28">
        <v>217568</v>
      </c>
    </row>
    <row r="138" spans="1:8" ht="13.05" customHeight="1">
      <c r="A138" s="29" t="s">
        <v>149</v>
      </c>
      <c r="B138" s="30" t="s">
        <v>17</v>
      </c>
      <c r="C138" s="38">
        <v>-6.61</v>
      </c>
      <c r="D138" s="32">
        <v>1125000</v>
      </c>
      <c r="E138" s="32">
        <v>81250</v>
      </c>
      <c r="F138" s="38">
        <v>-5.47</v>
      </c>
      <c r="G138" s="32">
        <v>199250</v>
      </c>
      <c r="H138" s="32">
        <v>39850</v>
      </c>
    </row>
  </sheetData>
  <mergeCells count="6">
    <mergeCell ref="A3:A4"/>
    <mergeCell ref="A2:H2"/>
    <mergeCell ref="B3:B4"/>
    <mergeCell ref="C3:E3"/>
    <mergeCell ref="A1:H1"/>
    <mergeCell ref="F3:H3"/>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Views>
    <sheetView workbookViewId="0">
      <pane xSplit="1" ySplit="4" topLeftCell="B5" activePane="bottomRight" state="frozen"/>
      <selection pane="topRight" activeCell="B1" sqref="B1"/>
      <selection pane="bottomLeft" activeCell="A5" sqref="A5"/>
      <selection pane="bottomRight" activeCell="A5" sqref="A5"/>
    </sheetView>
  </sheetViews>
  <sheetFormatPr defaultRowHeight="14.25"/>
  <cols>
    <col min="1" max="1" width="36.73046875" customWidth="1"/>
    <col min="2" max="2" width="10.73046875" customWidth="1"/>
    <col min="3" max="3" width="10.73046875" style="44" customWidth="1"/>
    <col min="4" max="5" width="10.73046875" customWidth="1"/>
    <col min="6" max="6" width="10.73046875" style="44" customWidth="1"/>
    <col min="7" max="8" width="10.73046875" customWidth="1"/>
  </cols>
  <sheetData>
    <row r="1" spans="1:8">
      <c r="A1" s="64" t="s">
        <v>150</v>
      </c>
      <c r="B1" s="65"/>
      <c r="C1" s="65"/>
      <c r="D1" s="65"/>
      <c r="E1" s="65"/>
      <c r="F1" s="65"/>
      <c r="G1" s="65"/>
      <c r="H1" s="65"/>
    </row>
    <row r="2" spans="1:8">
      <c r="A2" s="64" t="s">
        <v>7</v>
      </c>
      <c r="B2" s="65"/>
      <c r="C2" s="65"/>
      <c r="D2" s="65"/>
      <c r="E2" s="65"/>
      <c r="F2" s="65"/>
      <c r="G2" s="65"/>
      <c r="H2" s="65"/>
    </row>
    <row r="3" spans="1:8">
      <c r="A3" s="62" t="s">
        <v>8</v>
      </c>
      <c r="B3" s="66" t="s">
        <v>9</v>
      </c>
      <c r="C3" s="66">
        <v>2026</v>
      </c>
      <c r="D3" s="68"/>
      <c r="E3" s="69"/>
      <c r="F3" s="70">
        <v>2027</v>
      </c>
      <c r="G3" s="68"/>
      <c r="H3" s="68"/>
    </row>
    <row r="4" spans="1:8" ht="25.5" customHeight="1">
      <c r="A4" s="63"/>
      <c r="B4" s="67"/>
      <c r="C4" s="54" t="s">
        <v>10</v>
      </c>
      <c r="D4" s="15" t="s">
        <v>11</v>
      </c>
      <c r="E4" s="15" t="s">
        <v>12</v>
      </c>
      <c r="F4" s="54" t="s">
        <v>10</v>
      </c>
      <c r="G4" s="15" t="s">
        <v>11</v>
      </c>
      <c r="H4" s="15" t="s">
        <v>12</v>
      </c>
    </row>
    <row r="5" spans="1:8" ht="19.5" customHeight="1">
      <c r="A5" s="19" t="s">
        <v>13</v>
      </c>
      <c r="B5" s="20"/>
      <c r="C5" s="41"/>
      <c r="D5" s="20"/>
      <c r="E5" s="20"/>
      <c r="F5" s="41"/>
      <c r="G5" s="20"/>
      <c r="H5" s="20"/>
    </row>
    <row r="6" spans="1:8" ht="16.5" customHeight="1">
      <c r="A6" s="21" t="s">
        <v>14</v>
      </c>
      <c r="B6" s="22"/>
      <c r="C6" s="42"/>
      <c r="D6" s="22"/>
      <c r="E6" s="22"/>
      <c r="F6" s="42"/>
      <c r="G6" s="22"/>
      <c r="H6" s="22"/>
    </row>
    <row r="7" spans="1:8" ht="13.05" customHeight="1">
      <c r="A7" s="23" t="s">
        <v>15</v>
      </c>
      <c r="B7" s="24"/>
      <c r="C7" s="43"/>
      <c r="D7" s="24"/>
      <c r="E7" s="24"/>
      <c r="F7" s="43"/>
      <c r="G7" s="24"/>
      <c r="H7" s="24"/>
    </row>
    <row r="8" spans="1:8" ht="13.05" customHeight="1">
      <c r="A8" s="25" t="s">
        <v>151</v>
      </c>
      <c r="B8" s="26" t="s">
        <v>17</v>
      </c>
      <c r="C8" s="27">
        <v>-0.53</v>
      </c>
      <c r="D8" s="28">
        <v>3500000</v>
      </c>
      <c r="E8" s="37">
        <v>599</v>
      </c>
      <c r="F8" s="27">
        <v>-0.57999999999999996</v>
      </c>
      <c r="G8" s="28">
        <v>4664000</v>
      </c>
      <c r="H8" s="37">
        <v>617</v>
      </c>
    </row>
    <row r="9" spans="1:8" ht="13.05" customHeight="1">
      <c r="A9" s="25" t="s">
        <v>152</v>
      </c>
      <c r="B9" s="26" t="s">
        <v>17</v>
      </c>
      <c r="C9" s="27">
        <v>-0.26</v>
      </c>
      <c r="D9" s="28">
        <v>2000000</v>
      </c>
      <c r="E9" s="37">
        <v>474</v>
      </c>
      <c r="F9" s="27">
        <v>-0.44</v>
      </c>
      <c r="G9" s="28">
        <v>2000000</v>
      </c>
      <c r="H9" s="37">
        <v>513</v>
      </c>
    </row>
    <row r="10" spans="1:8" ht="13.05" customHeight="1">
      <c r="A10" s="23" t="s">
        <v>153</v>
      </c>
      <c r="B10" s="24"/>
      <c r="C10" s="43"/>
      <c r="D10" s="24"/>
      <c r="E10" s="24"/>
      <c r="F10" s="43"/>
      <c r="G10" s="24"/>
      <c r="H10" s="24"/>
    </row>
    <row r="11" spans="1:8" ht="13.05" customHeight="1">
      <c r="A11" s="25" t="s">
        <v>154</v>
      </c>
      <c r="B11" s="26" t="s">
        <v>22</v>
      </c>
      <c r="C11" s="27">
        <v>-0.25</v>
      </c>
      <c r="D11" s="28">
        <v>4969925</v>
      </c>
      <c r="E11" s="28">
        <v>5500</v>
      </c>
      <c r="F11" s="27">
        <v>-0.2</v>
      </c>
      <c r="G11" s="28">
        <v>4966500</v>
      </c>
      <c r="H11" s="28">
        <v>5500</v>
      </c>
    </row>
    <row r="12" spans="1:8" ht="13.05" customHeight="1">
      <c r="A12" s="25" t="s">
        <v>155</v>
      </c>
      <c r="B12" s="26" t="s">
        <v>22</v>
      </c>
      <c r="C12" s="27">
        <v>-0.13</v>
      </c>
      <c r="D12" s="28">
        <v>488200</v>
      </c>
      <c r="E12" s="28">
        <v>1000</v>
      </c>
      <c r="F12" s="27">
        <v>-1.79</v>
      </c>
      <c r="G12" s="28">
        <v>495000</v>
      </c>
      <c r="H12" s="28">
        <v>1000</v>
      </c>
    </row>
    <row r="13" spans="1:8" ht="14" customHeight="1">
      <c r="A13" s="21" t="s">
        <v>24</v>
      </c>
      <c r="B13" s="22"/>
      <c r="C13" s="42"/>
      <c r="D13" s="22"/>
      <c r="E13" s="22"/>
      <c r="F13" s="42"/>
      <c r="G13" s="22"/>
      <c r="H13" s="22"/>
    </row>
    <row r="14" spans="1:8" ht="13.05" customHeight="1">
      <c r="A14" s="23" t="s">
        <v>25</v>
      </c>
      <c r="B14" s="24"/>
      <c r="C14" s="43"/>
      <c r="D14" s="24"/>
      <c r="E14" s="24"/>
      <c r="F14" s="43"/>
      <c r="G14" s="24"/>
      <c r="H14" s="24"/>
    </row>
    <row r="15" spans="1:8" ht="13.05" customHeight="1">
      <c r="A15" s="25" t="s">
        <v>156</v>
      </c>
      <c r="B15" s="26" t="s">
        <v>17</v>
      </c>
      <c r="C15" s="27">
        <v>-0.83</v>
      </c>
      <c r="D15" s="28">
        <v>200000</v>
      </c>
      <c r="E15" s="28">
        <v>11491</v>
      </c>
      <c r="F15" s="27">
        <v>-0.98</v>
      </c>
      <c r="G15" s="28">
        <v>450000</v>
      </c>
      <c r="H15" s="28">
        <v>11824</v>
      </c>
    </row>
    <row r="16" spans="1:8" ht="13.05" customHeight="1">
      <c r="A16" s="23" t="s">
        <v>27</v>
      </c>
      <c r="B16" s="24"/>
      <c r="C16" s="43"/>
      <c r="D16" s="24"/>
      <c r="E16" s="24"/>
      <c r="F16" s="43"/>
      <c r="G16" s="24"/>
      <c r="H16" s="24"/>
    </row>
    <row r="17" spans="1:8" ht="13.05" customHeight="1">
      <c r="A17" s="25" t="s">
        <v>157</v>
      </c>
      <c r="B17" s="26" t="s">
        <v>17</v>
      </c>
      <c r="C17" s="27">
        <v>-0.88</v>
      </c>
      <c r="D17" s="28">
        <v>211978</v>
      </c>
      <c r="E17" s="28">
        <v>2839</v>
      </c>
      <c r="F17" s="27">
        <v>-2.16</v>
      </c>
      <c r="G17" s="28">
        <v>208382</v>
      </c>
      <c r="H17" s="28">
        <v>2921</v>
      </c>
    </row>
    <row r="18" spans="1:8" ht="13.05" customHeight="1">
      <c r="A18" s="25" t="s">
        <v>158</v>
      </c>
      <c r="B18" s="26" t="s">
        <v>17</v>
      </c>
      <c r="C18" s="27">
        <v>-0.81</v>
      </c>
      <c r="D18" s="28">
        <v>11423775</v>
      </c>
      <c r="E18" s="37">
        <v>210</v>
      </c>
      <c r="F18" s="27">
        <v>-0.79</v>
      </c>
      <c r="G18" s="28">
        <v>13088000</v>
      </c>
      <c r="H18" s="37">
        <v>216</v>
      </c>
    </row>
    <row r="19" spans="1:8" ht="14" customHeight="1">
      <c r="A19" s="21" t="s">
        <v>39</v>
      </c>
      <c r="B19" s="22"/>
      <c r="C19" s="42"/>
      <c r="D19" s="22"/>
      <c r="E19" s="22"/>
      <c r="F19" s="42"/>
      <c r="G19" s="22"/>
      <c r="H19" s="22"/>
    </row>
    <row r="20" spans="1:8" ht="13.05" customHeight="1">
      <c r="A20" s="23" t="s">
        <v>159</v>
      </c>
      <c r="B20" s="24"/>
      <c r="C20" s="43"/>
      <c r="D20" s="24"/>
      <c r="E20" s="24"/>
      <c r="F20" s="43"/>
      <c r="G20" s="24"/>
      <c r="H20" s="24"/>
    </row>
    <row r="21" spans="1:8" ht="13.05" customHeight="1">
      <c r="A21" s="25" t="s">
        <v>160</v>
      </c>
      <c r="B21" s="26" t="s">
        <v>17</v>
      </c>
      <c r="C21" s="27">
        <v>1.0900000000000001</v>
      </c>
      <c r="D21" s="28">
        <v>2091743</v>
      </c>
      <c r="E21" s="28">
        <v>8657</v>
      </c>
      <c r="F21" s="27">
        <v>1.93</v>
      </c>
      <c r="G21" s="28">
        <v>85159</v>
      </c>
      <c r="H21" s="28">
        <v>8908</v>
      </c>
    </row>
    <row r="22" spans="1:8" ht="13.05" customHeight="1">
      <c r="A22" s="23" t="s">
        <v>161</v>
      </c>
      <c r="B22" s="24"/>
      <c r="C22" s="43"/>
      <c r="D22" s="24"/>
      <c r="E22" s="24"/>
      <c r="F22" s="43"/>
      <c r="G22" s="24"/>
      <c r="H22" s="24"/>
    </row>
    <row r="23" spans="1:8" ht="13.05" customHeight="1">
      <c r="A23" s="25" t="s">
        <v>162</v>
      </c>
      <c r="B23" s="26" t="s">
        <v>22</v>
      </c>
      <c r="C23" s="27">
        <v>4.54</v>
      </c>
      <c r="D23" s="28">
        <v>100000</v>
      </c>
      <c r="E23" s="28">
        <v>7646</v>
      </c>
      <c r="F23" s="27">
        <v>3.78</v>
      </c>
      <c r="G23" s="28">
        <v>100000</v>
      </c>
      <c r="H23" s="28">
        <v>7868</v>
      </c>
    </row>
    <row r="24" spans="1:8" ht="14" customHeight="1">
      <c r="A24" s="21" t="s">
        <v>46</v>
      </c>
      <c r="B24" s="22"/>
      <c r="C24" s="42"/>
      <c r="D24" s="22"/>
      <c r="E24" s="22"/>
      <c r="F24" s="42"/>
      <c r="G24" s="22"/>
      <c r="H24" s="22"/>
    </row>
    <row r="25" spans="1:8" ht="13.05" customHeight="1">
      <c r="A25" s="25" t="s">
        <v>163</v>
      </c>
      <c r="B25" s="26" t="s">
        <v>17</v>
      </c>
      <c r="C25" s="27">
        <v>-0.19</v>
      </c>
      <c r="D25" s="28">
        <v>15765</v>
      </c>
      <c r="E25" s="28">
        <v>1499</v>
      </c>
      <c r="F25" s="27">
        <v>-0.22</v>
      </c>
      <c r="G25" s="28">
        <v>50000</v>
      </c>
      <c r="H25" s="28">
        <v>1491</v>
      </c>
    </row>
    <row r="26" spans="1:8" ht="14" customHeight="1">
      <c r="A26" s="21" t="s">
        <v>164</v>
      </c>
      <c r="B26" s="22"/>
      <c r="C26" s="42"/>
      <c r="D26" s="22"/>
      <c r="E26" s="22"/>
      <c r="F26" s="42"/>
      <c r="G26" s="22"/>
      <c r="H26" s="22"/>
    </row>
    <row r="27" spans="1:8" ht="13.05" customHeight="1">
      <c r="A27" s="25" t="s">
        <v>165</v>
      </c>
      <c r="B27" s="26" t="s">
        <v>17</v>
      </c>
      <c r="C27" s="27">
        <v>7</v>
      </c>
      <c r="D27" s="28">
        <v>120347</v>
      </c>
      <c r="E27" s="28">
        <v>10632</v>
      </c>
      <c r="F27" s="27" t="s">
        <v>33</v>
      </c>
      <c r="G27" s="28" t="s">
        <v>33</v>
      </c>
      <c r="H27" s="28" t="s">
        <v>33</v>
      </c>
    </row>
    <row r="28" spans="1:8" ht="19.5" customHeight="1">
      <c r="A28" s="19" t="s">
        <v>166</v>
      </c>
      <c r="B28" s="20"/>
      <c r="C28" s="41"/>
      <c r="D28" s="20"/>
      <c r="E28" s="20"/>
      <c r="F28" s="41"/>
      <c r="G28" s="20"/>
      <c r="H28" s="20"/>
    </row>
    <row r="29" spans="1:8" ht="16.5" customHeight="1">
      <c r="A29" s="21" t="s">
        <v>167</v>
      </c>
      <c r="B29" s="22"/>
      <c r="C29" s="42"/>
      <c r="D29" s="22"/>
      <c r="E29" s="22"/>
      <c r="F29" s="42"/>
      <c r="G29" s="22"/>
      <c r="H29" s="22"/>
    </row>
    <row r="30" spans="1:8" ht="13.05" customHeight="1">
      <c r="A30" s="25" t="s">
        <v>168</v>
      </c>
      <c r="B30" s="26" t="s">
        <v>17</v>
      </c>
      <c r="C30" s="27" t="s">
        <v>33</v>
      </c>
      <c r="D30" s="28" t="s">
        <v>33</v>
      </c>
      <c r="E30" s="28" t="s">
        <v>33</v>
      </c>
      <c r="F30" s="27">
        <v>2.5499999999999998</v>
      </c>
      <c r="G30" s="28">
        <v>72000</v>
      </c>
      <c r="H30" s="28">
        <v>6000</v>
      </c>
    </row>
  </sheetData>
  <mergeCells count="6">
    <mergeCell ref="A3:A4"/>
    <mergeCell ref="A2:H2"/>
    <mergeCell ref="B3:B4"/>
    <mergeCell ref="C3:E3"/>
    <mergeCell ref="A1:H1"/>
    <mergeCell ref="F3: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Introduction</vt:lpstr>
      <vt:lpstr>Glossary of Terms</vt:lpstr>
      <vt:lpstr>Table1</vt:lpstr>
      <vt:lpstr>Table2</vt:lpstr>
      <vt:lpstr>Table3</vt:lpstr>
      <vt:lpstr>Table4</vt:lpstr>
      <vt:lpstr>Table5</vt:lpstr>
      <vt:lpstr>Table6</vt:lpstr>
      <vt:lpstr>Table7</vt:lpstr>
      <vt:lpstr>Table8</vt:lpstr>
      <vt:lpstr>Table9</vt:lpstr>
      <vt:lpstr>Table10</vt:lpstr>
      <vt:lpstr>Table1!Table_1</vt:lpstr>
      <vt:lpstr>Table3!Table_1</vt:lpstr>
      <vt:lpstr>Table7!Table_7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Evans, Patrick EOP/OMB</dc:creator>
  <cp:lastModifiedBy>Chaudhary, Nida EOP/OMB</cp:lastModifiedBy>
  <dcterms:created xsi:type="dcterms:W3CDTF">2015-06-05T18:17:20Z</dcterms:created>
  <dcterms:modified xsi:type="dcterms:W3CDTF">2026-04-02T21:31:48Z</dcterms:modified>
</cp:coreProperties>
</file>